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23820" windowHeight="10110"/>
  </bookViews>
  <sheets>
    <sheet name="DataEntry" sheetId="1" r:id="rId1"/>
  </sheets>
  <calcPr calcId="125725"/>
</workbook>
</file>

<file path=xl/calcChain.xml><?xml version="1.0" encoding="utf-8"?>
<calcChain xmlns="http://schemas.openxmlformats.org/spreadsheetml/2006/main">
  <c r="O31" i="1"/>
  <c r="O29"/>
  <c r="M29"/>
  <c r="L29"/>
  <c r="O28"/>
  <c r="M28"/>
  <c r="L28"/>
  <c r="N28" s="1"/>
  <c r="O27"/>
  <c r="M27"/>
  <c r="L27"/>
  <c r="O26"/>
  <c r="M26"/>
  <c r="L26"/>
  <c r="N26" s="1"/>
  <c r="O25"/>
  <c r="O24"/>
  <c r="M24"/>
  <c r="L24"/>
  <c r="N24" s="1"/>
  <c r="O23"/>
  <c r="M23"/>
  <c r="L23"/>
  <c r="O22"/>
  <c r="O21"/>
  <c r="M21"/>
  <c r="L21"/>
  <c r="O20"/>
  <c r="M20"/>
  <c r="L20"/>
  <c r="O19"/>
  <c r="M19"/>
  <c r="L19"/>
  <c r="O18"/>
  <c r="M18"/>
  <c r="L18"/>
  <c r="O17"/>
  <c r="M17"/>
  <c r="L17"/>
  <c r="O16"/>
  <c r="M16"/>
  <c r="L16"/>
  <c r="O15"/>
  <c r="M15"/>
  <c r="L15"/>
  <c r="O14"/>
  <c r="M14"/>
  <c r="L14"/>
  <c r="O13"/>
  <c r="M13"/>
  <c r="L13"/>
  <c r="O12"/>
  <c r="O11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2"/>
  <c r="G3"/>
  <c r="G4"/>
  <c r="M12" s="1"/>
  <c r="G5"/>
  <c r="G6"/>
  <c r="G7"/>
  <c r="G8"/>
  <c r="M22" s="1"/>
  <c r="G9"/>
  <c r="G10"/>
  <c r="L25" s="1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2"/>
  <c r="L11" s="1"/>
  <c r="M11" l="1"/>
  <c r="M25"/>
  <c r="L22"/>
  <c r="N22" s="1"/>
  <c r="N14"/>
  <c r="N16"/>
  <c r="N18"/>
  <c r="N20"/>
  <c r="M31"/>
  <c r="L12"/>
  <c r="N12" s="1"/>
  <c r="L31"/>
  <c r="N29"/>
  <c r="P14"/>
  <c r="P16"/>
  <c r="P18"/>
  <c r="P20"/>
  <c r="P22"/>
  <c r="P24"/>
  <c r="P26"/>
  <c r="P28"/>
  <c r="P11"/>
  <c r="N13"/>
  <c r="P13"/>
  <c r="N15"/>
  <c r="P15"/>
  <c r="N17"/>
  <c r="P17"/>
  <c r="N19"/>
  <c r="P19"/>
  <c r="N21"/>
  <c r="P21"/>
  <c r="N23"/>
  <c r="P23"/>
  <c r="N25"/>
  <c r="P25"/>
  <c r="N27"/>
  <c r="P27"/>
  <c r="P29"/>
  <c r="Q21"/>
  <c r="Q22"/>
  <c r="Q23"/>
  <c r="Q24"/>
  <c r="Q25"/>
  <c r="Q26"/>
  <c r="Q27"/>
  <c r="Q28"/>
  <c r="Q29"/>
  <c r="O32"/>
  <c r="Q11"/>
  <c r="Q13"/>
  <c r="Q14"/>
  <c r="Q15"/>
  <c r="Q16"/>
  <c r="Q17"/>
  <c r="Q18"/>
  <c r="Q19"/>
  <c r="Q20"/>
  <c r="N11"/>
  <c r="M32" l="1"/>
  <c r="M34" s="1"/>
  <c r="N31"/>
  <c r="Q12"/>
  <c r="P12"/>
  <c r="L32"/>
  <c r="N32" s="1"/>
  <c r="Q31"/>
  <c r="P31"/>
  <c r="O34"/>
  <c r="Q32" l="1"/>
  <c r="P32"/>
  <c r="L34"/>
  <c r="N34" s="1"/>
  <c r="Q34" l="1"/>
  <c r="P34"/>
</calcChain>
</file>

<file path=xl/sharedStrings.xml><?xml version="1.0" encoding="utf-8"?>
<sst xmlns="http://schemas.openxmlformats.org/spreadsheetml/2006/main" count="85" uniqueCount="56">
  <si>
    <t>period</t>
  </si>
  <si>
    <t xml:space="preserve">Time </t>
  </si>
  <si>
    <t>exit type</t>
  </si>
  <si>
    <t>player</t>
  </si>
  <si>
    <t>pressure</t>
  </si>
  <si>
    <t>strength</t>
  </si>
  <si>
    <t>Definition</t>
  </si>
  <si>
    <t>Control</t>
  </si>
  <si>
    <t>P</t>
  </si>
  <si>
    <t>C</t>
  </si>
  <si>
    <t>Success</t>
  </si>
  <si>
    <t>CH</t>
  </si>
  <si>
    <t>FC</t>
  </si>
  <si>
    <t>FP</t>
  </si>
  <si>
    <t>X</t>
  </si>
  <si>
    <t>I</t>
  </si>
  <si>
    <t>Failure</t>
  </si>
  <si>
    <t>PT</t>
  </si>
  <si>
    <t>CT</t>
  </si>
  <si>
    <t>T</t>
  </si>
  <si>
    <t>Strength</t>
  </si>
  <si>
    <t>5v5</t>
  </si>
  <si>
    <t>4v5</t>
  </si>
  <si>
    <t>Note: data below excludes exits without pressure</t>
  </si>
  <si>
    <t>5v4</t>
  </si>
  <si>
    <t>#</t>
  </si>
  <si>
    <t>Name</t>
  </si>
  <si>
    <t xml:space="preserve"># of exits </t>
  </si>
  <si>
    <t># of failed exits</t>
  </si>
  <si>
    <t>successful exit %</t>
  </si>
  <si>
    <t>exits with possession</t>
  </si>
  <si>
    <t>% of exits with control</t>
  </si>
  <si>
    <t>% of exit attempts with control</t>
  </si>
  <si>
    <t>B. COBURN</t>
  </si>
  <si>
    <t>N. GROSSMANN</t>
  </si>
  <si>
    <t>B. SCHENN</t>
  </si>
  <si>
    <t>E. WELLWOOD</t>
  </si>
  <si>
    <t>S. COUTURIER</t>
  </si>
  <si>
    <t>T. MCGINN</t>
  </si>
  <si>
    <t>W. SIMMONDS</t>
  </si>
  <si>
    <t>S. HARTNELL</t>
  </si>
  <si>
    <t>S. LAUGHTON</t>
  </si>
  <si>
    <t>L. SCHENN</t>
  </si>
  <si>
    <t>M. READ</t>
  </si>
  <si>
    <t>M. TALBOT</t>
  </si>
  <si>
    <t>R. FEDOTENKO</t>
  </si>
  <si>
    <t>B. GERVAIS</t>
  </si>
  <si>
    <t>C. GIROUX</t>
  </si>
  <si>
    <t>A. MESZAROS</t>
  </si>
  <si>
    <t>K. TIMONEN</t>
  </si>
  <si>
    <t>J. VORACEK</t>
  </si>
  <si>
    <t>Bryzgalov</t>
  </si>
  <si>
    <t>OPP</t>
  </si>
  <si>
    <t>Opp</t>
  </si>
  <si>
    <t xml:space="preserve">Flyers </t>
  </si>
  <si>
    <t>Total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</si>
</sst>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Protection="1">
      <protection locked="0"/>
    </xf>
    <xf numFmtId="0" fontId="2" fillId="0" borderId="0" xfId="0" applyFont="1"/>
    <xf numFmtId="0" fontId="0" fillId="0" borderId="0" xfId="0" applyAlignment="1" applyProtection="1">
      <alignment horizontal="center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0" fontId="2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500"/>
  <sheetViews>
    <sheetView tabSelected="1" workbookViewId="0">
      <selection activeCell="A6" sqref="A6"/>
    </sheetView>
  </sheetViews>
  <sheetFormatPr defaultRowHeight="15"/>
  <cols>
    <col min="1" max="1" width="6.85546875" style="4" bestFit="1" customWidth="1"/>
    <col min="2" max="2" width="5.85546875" style="4" bestFit="1" customWidth="1"/>
    <col min="3" max="3" width="8.85546875" style="4" bestFit="1" customWidth="1"/>
    <col min="4" max="4" width="6.5703125" style="4" bestFit="1" customWidth="1"/>
    <col min="5" max="5" width="8.7109375" style="4" bestFit="1" customWidth="1"/>
    <col min="6" max="6" width="8.42578125" style="4" bestFit="1" customWidth="1"/>
    <col min="7" max="7" width="10.140625" bestFit="1" customWidth="1"/>
    <col min="8" max="8" width="12.85546875" bestFit="1" customWidth="1"/>
    <col min="10" max="10" width="4.7109375" bestFit="1" customWidth="1"/>
    <col min="11" max="11" width="15.28515625" style="3" bestFit="1" customWidth="1"/>
    <col min="12" max="12" width="9.42578125" style="3" bestFit="1" customWidth="1"/>
    <col min="13" max="13" width="14.7109375" style="3" bestFit="1" customWidth="1"/>
    <col min="14" max="14" width="16" bestFit="1" customWidth="1"/>
    <col min="15" max="15" width="20.140625" bestFit="1" customWidth="1"/>
    <col min="16" max="16" width="21" bestFit="1" customWidth="1"/>
    <col min="17" max="17" width="28.85546875" bestFit="1" customWidth="1"/>
    <col min="22" max="22" width="4" bestFit="1" customWidth="1"/>
    <col min="23" max="24" width="7.7109375" bestFit="1" customWidth="1"/>
  </cols>
  <sheetData>
    <row r="1" spans="1:25" ht="15.7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1" t="s">
        <v>6</v>
      </c>
      <c r="H1" s="1" t="s">
        <v>7</v>
      </c>
      <c r="J1" s="6"/>
      <c r="K1" s="7" t="s">
        <v>20</v>
      </c>
      <c r="L1" s="7" t="s">
        <v>21</v>
      </c>
      <c r="M1" s="6"/>
      <c r="N1" s="6"/>
      <c r="O1" s="6"/>
      <c r="P1" s="6"/>
      <c r="Q1" s="6"/>
      <c r="V1" s="3" t="s">
        <v>21</v>
      </c>
      <c r="W1" s="3" t="s">
        <v>9</v>
      </c>
      <c r="X1" s="3" t="s">
        <v>10</v>
      </c>
      <c r="Y1" s="3" t="s">
        <v>10</v>
      </c>
    </row>
    <row r="2" spans="1:25" ht="15.75">
      <c r="B2" s="5"/>
      <c r="G2" s="1" t="str">
        <f t="shared" ref="G2:G65" si="0">IFERROR(IF(F2="4v5",VLOOKUP(C2,$W$1:$Y$10,3,FALSE),VLOOKUP(C2,$W$1:$Y$10,2,FALSE)),"")</f>
        <v/>
      </c>
      <c r="H2" s="1" t="str">
        <f>IF(C2="","",(IF(OR(C2="C",C2="P"),"Control","Uncontrolled")))</f>
        <v/>
      </c>
      <c r="J2" s="6"/>
      <c r="K2" s="6"/>
      <c r="L2" s="7"/>
      <c r="M2" s="6"/>
      <c r="N2" s="6"/>
      <c r="O2" s="6"/>
      <c r="P2" s="6"/>
      <c r="Q2" s="6"/>
      <c r="V2" s="3" t="s">
        <v>22</v>
      </c>
      <c r="W2" s="3" t="s">
        <v>8</v>
      </c>
      <c r="X2" s="3" t="s">
        <v>10</v>
      </c>
      <c r="Y2" s="3" t="s">
        <v>10</v>
      </c>
    </row>
    <row r="3" spans="1:25" ht="15.75">
      <c r="B3" s="5"/>
      <c r="G3" s="1" t="str">
        <f t="shared" si="0"/>
        <v/>
      </c>
      <c r="H3" s="1" t="str">
        <f t="shared" ref="H3:H66" si="1">IF(C3="","",(IF(OR(C3="C",C3="P"),"Control","Uncontrolled")))</f>
        <v/>
      </c>
      <c r="J3" s="6"/>
      <c r="K3" s="8" t="s">
        <v>23</v>
      </c>
      <c r="L3" s="8"/>
      <c r="M3" s="8"/>
      <c r="N3" s="8"/>
      <c r="O3" s="8"/>
      <c r="P3" s="6"/>
      <c r="Q3" s="6"/>
      <c r="V3" s="3" t="s">
        <v>24</v>
      </c>
      <c r="W3" s="3" t="s">
        <v>11</v>
      </c>
      <c r="X3" s="3" t="s">
        <v>10</v>
      </c>
      <c r="Y3" s="3" t="s">
        <v>10</v>
      </c>
    </row>
    <row r="4" spans="1:25" ht="15.75">
      <c r="B4" s="5"/>
      <c r="G4" s="1" t="str">
        <f t="shared" si="0"/>
        <v/>
      </c>
      <c r="H4" s="1" t="str">
        <f t="shared" si="1"/>
        <v/>
      </c>
      <c r="J4" s="6"/>
      <c r="K4" s="6"/>
      <c r="L4" s="7"/>
      <c r="M4" s="6"/>
      <c r="N4" s="6"/>
      <c r="O4" s="6"/>
      <c r="P4" s="6"/>
      <c r="Q4" s="6"/>
      <c r="V4" s="3"/>
      <c r="W4" s="3" t="s">
        <v>12</v>
      </c>
      <c r="X4" s="3" t="s">
        <v>10</v>
      </c>
      <c r="Y4" s="3" t="s">
        <v>10</v>
      </c>
    </row>
    <row r="5" spans="1:25" ht="15.75">
      <c r="B5" s="5"/>
      <c r="G5" s="1" t="str">
        <f t="shared" si="0"/>
        <v/>
      </c>
      <c r="H5" s="1" t="str">
        <f t="shared" si="1"/>
        <v/>
      </c>
      <c r="J5" s="3"/>
      <c r="N5" s="3"/>
      <c r="O5" s="3"/>
      <c r="P5" s="3"/>
      <c r="Q5" s="3"/>
      <c r="V5" s="3" t="s">
        <v>9</v>
      </c>
      <c r="W5" s="3" t="s">
        <v>13</v>
      </c>
      <c r="X5" s="3" t="s">
        <v>10</v>
      </c>
      <c r="Y5" s="3" t="s">
        <v>10</v>
      </c>
    </row>
    <row r="6" spans="1:25" ht="15.75">
      <c r="B6" s="5"/>
      <c r="G6" s="1" t="str">
        <f t="shared" si="0"/>
        <v/>
      </c>
      <c r="H6" s="1" t="str">
        <f t="shared" si="1"/>
        <v/>
      </c>
      <c r="J6" s="3"/>
      <c r="N6" s="3"/>
      <c r="O6" s="3"/>
      <c r="P6" s="3"/>
      <c r="Q6" s="3"/>
      <c r="V6" s="3" t="s">
        <v>8</v>
      </c>
      <c r="W6" s="3" t="s">
        <v>14</v>
      </c>
      <c r="X6" s="3" t="s">
        <v>10</v>
      </c>
      <c r="Y6" s="3" t="s">
        <v>10</v>
      </c>
    </row>
    <row r="7" spans="1:25" ht="15.75">
      <c r="B7" s="5"/>
      <c r="G7" s="1" t="str">
        <f t="shared" si="0"/>
        <v/>
      </c>
      <c r="H7" s="1" t="str">
        <f t="shared" si="1"/>
        <v/>
      </c>
      <c r="J7" s="3"/>
      <c r="N7" s="3"/>
      <c r="O7" s="3"/>
      <c r="P7" s="3"/>
      <c r="Q7" s="3"/>
      <c r="V7" s="3" t="s">
        <v>11</v>
      </c>
      <c r="W7" s="3" t="s">
        <v>15</v>
      </c>
      <c r="X7" s="3" t="s">
        <v>16</v>
      </c>
      <c r="Y7" s="3" t="s">
        <v>10</v>
      </c>
    </row>
    <row r="8" spans="1:25" ht="15.75">
      <c r="B8" s="5"/>
      <c r="G8" s="1" t="str">
        <f t="shared" si="0"/>
        <v/>
      </c>
      <c r="H8" s="1" t="str">
        <f t="shared" si="1"/>
        <v/>
      </c>
      <c r="J8" s="3"/>
      <c r="N8" s="3"/>
      <c r="O8" s="3"/>
      <c r="P8" s="3"/>
      <c r="Q8" s="3"/>
      <c r="V8" s="3" t="s">
        <v>12</v>
      </c>
      <c r="W8" s="3" t="s">
        <v>17</v>
      </c>
      <c r="X8" s="3" t="s">
        <v>16</v>
      </c>
      <c r="Y8" s="3" t="s">
        <v>16</v>
      </c>
    </row>
    <row r="9" spans="1:25" ht="15.75">
      <c r="B9" s="5"/>
      <c r="G9" s="1" t="str">
        <f t="shared" si="0"/>
        <v/>
      </c>
      <c r="H9" s="1" t="str">
        <f t="shared" si="1"/>
        <v/>
      </c>
      <c r="J9" s="3"/>
      <c r="N9" s="3"/>
      <c r="O9" s="3"/>
      <c r="P9" s="3"/>
      <c r="Q9" s="3"/>
      <c r="V9" s="3" t="s">
        <v>13</v>
      </c>
      <c r="W9" s="3" t="s">
        <v>18</v>
      </c>
      <c r="X9" s="3" t="s">
        <v>16</v>
      </c>
      <c r="Y9" s="3" t="s">
        <v>16</v>
      </c>
    </row>
    <row r="10" spans="1:25" ht="15.75">
      <c r="B10" s="5"/>
      <c r="G10" s="1" t="str">
        <f t="shared" si="0"/>
        <v/>
      </c>
      <c r="H10" s="1" t="str">
        <f t="shared" si="1"/>
        <v/>
      </c>
      <c r="J10" s="6" t="s">
        <v>25</v>
      </c>
      <c r="K10" s="6" t="s">
        <v>26</v>
      </c>
      <c r="L10" s="7" t="s">
        <v>27</v>
      </c>
      <c r="M10" s="6" t="s">
        <v>28</v>
      </c>
      <c r="N10" s="6" t="s">
        <v>29</v>
      </c>
      <c r="O10" s="6" t="s">
        <v>30</v>
      </c>
      <c r="P10" s="6" t="s">
        <v>31</v>
      </c>
      <c r="Q10" s="6" t="s">
        <v>32</v>
      </c>
      <c r="V10" s="3" t="s">
        <v>14</v>
      </c>
      <c r="W10" s="3" t="s">
        <v>19</v>
      </c>
      <c r="X10" s="3" t="s">
        <v>16</v>
      </c>
      <c r="Y10" s="3" t="s">
        <v>16</v>
      </c>
    </row>
    <row r="11" spans="1:25" ht="15.75">
      <c r="G11" s="1" t="str">
        <f t="shared" si="0"/>
        <v/>
      </c>
      <c r="H11" s="1" t="str">
        <f t="shared" si="1"/>
        <v/>
      </c>
      <c r="J11" s="6">
        <v>5</v>
      </c>
      <c r="K11" s="6" t="s">
        <v>33</v>
      </c>
      <c r="L11" s="7">
        <f>COUNTIFS(D:D,$J11,F:F,$L$1,G:G,"Success",E:E,"YES")</f>
        <v>0</v>
      </c>
      <c r="M11" s="6">
        <f>COUNTIFS(D:D,$J11,F:F,$L$1,G:G,"Failure",E:E,"YES")</f>
        <v>0</v>
      </c>
      <c r="N11" s="9">
        <f>IFERROR(L11/(M11+L11),0)</f>
        <v>0</v>
      </c>
      <c r="O11" s="6">
        <f>COUNTIFS(D:D,$J11,F:F,$L$1,H:H,"Control",E:E,"YES")</f>
        <v>0</v>
      </c>
      <c r="P11" s="9">
        <f>IFERROR(O11/L11,0)</f>
        <v>0</v>
      </c>
      <c r="Q11" s="9">
        <f>IFERROR(O11/(L11+M11),0)</f>
        <v>0</v>
      </c>
      <c r="V11" s="3" t="s">
        <v>15</v>
      </c>
    </row>
    <row r="12" spans="1:25" ht="15.75">
      <c r="G12" s="1" t="str">
        <f t="shared" si="0"/>
        <v/>
      </c>
      <c r="H12" s="1" t="str">
        <f t="shared" si="1"/>
        <v/>
      </c>
      <c r="J12" s="6">
        <v>8</v>
      </c>
      <c r="K12" s="6" t="s">
        <v>34</v>
      </c>
      <c r="L12" s="7">
        <f>COUNTIFS(D:D,$J12,F:F,$L$1,G:G,"Success",E:E,"YES")</f>
        <v>0</v>
      </c>
      <c r="M12" s="6">
        <f>COUNTIFS(D:D,$J12,F:F,$L$1,G:G,"Failure",E:E,"YES")</f>
        <v>0</v>
      </c>
      <c r="N12" s="9">
        <f t="shared" ref="N12:N34" si="2">IFERROR(L12/(M12+L12),0)</f>
        <v>0</v>
      </c>
      <c r="O12" s="6">
        <f>COUNTIFS(D:D,$J12,F:F,$L$1,H:H,"Control",E:E,"YES")</f>
        <v>0</v>
      </c>
      <c r="P12" s="9">
        <f t="shared" ref="P12:P34" si="3">IFERROR(O12/L12,0)</f>
        <v>0</v>
      </c>
      <c r="Q12" s="9">
        <f t="shared" ref="Q12:Q34" si="4">IFERROR(O12/(L12+M12),0)</f>
        <v>0</v>
      </c>
      <c r="V12" s="3" t="s">
        <v>17</v>
      </c>
    </row>
    <row r="13" spans="1:25" ht="15.75">
      <c r="G13" s="1" t="str">
        <f t="shared" si="0"/>
        <v/>
      </c>
      <c r="H13" s="1" t="str">
        <f t="shared" si="1"/>
        <v/>
      </c>
      <c r="J13" s="6">
        <v>10</v>
      </c>
      <c r="K13" s="6" t="s">
        <v>35</v>
      </c>
      <c r="L13" s="7">
        <f>COUNTIFS(D:D,$J13,F:F,$L$1,G:G,"Success",E:E,"YES")</f>
        <v>0</v>
      </c>
      <c r="M13" s="6">
        <f>COUNTIFS(D:D,$J13,F:F,$L$1,G:G,"Failure",E:E,"YES")</f>
        <v>0</v>
      </c>
      <c r="N13" s="9">
        <f t="shared" si="2"/>
        <v>0</v>
      </c>
      <c r="O13" s="6">
        <f>COUNTIFS(D:D,$J13,F:F,$L$1,H:H,"Control",E:E,"YES")</f>
        <v>0</v>
      </c>
      <c r="P13" s="9">
        <f t="shared" si="3"/>
        <v>0</v>
      </c>
      <c r="Q13" s="9">
        <f t="shared" si="4"/>
        <v>0</v>
      </c>
      <c r="V13" s="3" t="s">
        <v>18</v>
      </c>
    </row>
    <row r="14" spans="1:25" ht="15.75">
      <c r="G14" s="1" t="str">
        <f t="shared" si="0"/>
        <v/>
      </c>
      <c r="H14" s="1" t="str">
        <f t="shared" si="1"/>
        <v/>
      </c>
      <c r="J14" s="6">
        <v>11</v>
      </c>
      <c r="K14" s="6" t="s">
        <v>36</v>
      </c>
      <c r="L14" s="7">
        <f>COUNTIFS(D:D,$J14,F:F,$L$1,G:G,"Success",E:E,"YES")</f>
        <v>0</v>
      </c>
      <c r="M14" s="6">
        <f>COUNTIFS(D:D,$J14,F:F,$L$1,G:G,"Failure",E:E,"YES")</f>
        <v>0</v>
      </c>
      <c r="N14" s="9">
        <f t="shared" si="2"/>
        <v>0</v>
      </c>
      <c r="O14" s="6">
        <f>COUNTIFS(D:D,$J14,F:F,$L$1,H:H,"Control",E:E,"YES")</f>
        <v>0</v>
      </c>
      <c r="P14" s="9">
        <f t="shared" si="3"/>
        <v>0</v>
      </c>
      <c r="Q14" s="9">
        <f t="shared" si="4"/>
        <v>0</v>
      </c>
      <c r="V14" s="3" t="s">
        <v>19</v>
      </c>
    </row>
    <row r="15" spans="1:25" ht="15.75">
      <c r="G15" s="1" t="str">
        <f t="shared" si="0"/>
        <v/>
      </c>
      <c r="H15" s="1" t="str">
        <f t="shared" si="1"/>
        <v/>
      </c>
      <c r="J15" s="6">
        <v>14</v>
      </c>
      <c r="K15" s="6" t="s">
        <v>37</v>
      </c>
      <c r="L15" s="7">
        <f>COUNTIFS(D:D,$J15,F:F,$L$1,G:G,"Success",E:E,"YES")</f>
        <v>0</v>
      </c>
      <c r="M15" s="6">
        <f>COUNTIFS(D:D,$J15,F:F,$L$1,G:G,"Failure",E:E,"YES")</f>
        <v>0</v>
      </c>
      <c r="N15" s="9">
        <f t="shared" si="2"/>
        <v>0</v>
      </c>
      <c r="O15" s="6">
        <f>COUNTIFS(D:D,$J15,F:F,$L$1,H:H,"Control",E:E,"YES")</f>
        <v>0</v>
      </c>
      <c r="P15" s="9">
        <f t="shared" si="3"/>
        <v>0</v>
      </c>
      <c r="Q15" s="9">
        <f t="shared" si="4"/>
        <v>0</v>
      </c>
    </row>
    <row r="16" spans="1:25" ht="15.75">
      <c r="G16" s="1" t="str">
        <f t="shared" si="0"/>
        <v/>
      </c>
      <c r="H16" s="1" t="str">
        <f t="shared" si="1"/>
        <v/>
      </c>
      <c r="J16" s="6">
        <v>15</v>
      </c>
      <c r="K16" s="6" t="s">
        <v>38</v>
      </c>
      <c r="L16" s="7">
        <f>COUNTIFS(D:D,$J16,F:F,$L$1,G:G,"Success",E:E,"YES")</f>
        <v>0</v>
      </c>
      <c r="M16" s="6">
        <f>COUNTIFS(D:D,$J16,F:F,$L$1,G:G,"Failure",E:E,"YES")</f>
        <v>0</v>
      </c>
      <c r="N16" s="9">
        <f t="shared" si="2"/>
        <v>0</v>
      </c>
      <c r="O16" s="6">
        <f>COUNTIFS(D:D,$J16,F:F,$L$1,H:H,"Control",E:E,"YES")</f>
        <v>0</v>
      </c>
      <c r="P16" s="9">
        <f t="shared" si="3"/>
        <v>0</v>
      </c>
      <c r="Q16" s="9">
        <f t="shared" si="4"/>
        <v>0</v>
      </c>
    </row>
    <row r="17" spans="7:17" ht="15.75">
      <c r="G17" s="1" t="str">
        <f t="shared" si="0"/>
        <v/>
      </c>
      <c r="H17" s="1" t="str">
        <f t="shared" si="1"/>
        <v/>
      </c>
      <c r="J17" s="6">
        <v>17</v>
      </c>
      <c r="K17" s="6" t="s">
        <v>39</v>
      </c>
      <c r="L17" s="7">
        <f>COUNTIFS(D:D,$J17,F:F,$L$1,G:G,"Success",E:E,"YES")</f>
        <v>0</v>
      </c>
      <c r="M17" s="6">
        <f>COUNTIFS(D:D,$J17,F:F,$L$1,G:G,"Failure",E:E,"YES")</f>
        <v>0</v>
      </c>
      <c r="N17" s="9">
        <f t="shared" si="2"/>
        <v>0</v>
      </c>
      <c r="O17" s="6">
        <f>COUNTIFS(D:D,$J17,F:F,$L$1,H:H,"Control",E:E,"YES")</f>
        <v>0</v>
      </c>
      <c r="P17" s="9">
        <f t="shared" si="3"/>
        <v>0</v>
      </c>
      <c r="Q17" s="9">
        <f t="shared" si="4"/>
        <v>0</v>
      </c>
    </row>
    <row r="18" spans="7:17" ht="15.75">
      <c r="G18" s="1" t="str">
        <f t="shared" si="0"/>
        <v/>
      </c>
      <c r="H18" s="1" t="str">
        <f t="shared" si="1"/>
        <v/>
      </c>
      <c r="J18" s="6">
        <v>19</v>
      </c>
      <c r="K18" s="6" t="s">
        <v>40</v>
      </c>
      <c r="L18" s="7">
        <f>COUNTIFS(D:D,$J18,F:F,$L$1,G:G,"Success",E:E,"YES")</f>
        <v>0</v>
      </c>
      <c r="M18" s="6">
        <f>COUNTIFS(D:D,$J18,F:F,$L$1,G:G,"Failure",E:E,"YES")</f>
        <v>0</v>
      </c>
      <c r="N18" s="9">
        <f t="shared" si="2"/>
        <v>0</v>
      </c>
      <c r="O18" s="6">
        <f>COUNTIFS(D:D,$J18,F:F,$L$1,H:H,"Control",E:E,"YES")</f>
        <v>0</v>
      </c>
      <c r="P18" s="9">
        <f t="shared" si="3"/>
        <v>0</v>
      </c>
      <c r="Q18" s="9">
        <f t="shared" si="4"/>
        <v>0</v>
      </c>
    </row>
    <row r="19" spans="7:17" ht="15.75">
      <c r="G19" s="1" t="str">
        <f t="shared" si="0"/>
        <v/>
      </c>
      <c r="H19" s="1" t="str">
        <f t="shared" si="1"/>
        <v/>
      </c>
      <c r="J19" s="6">
        <v>21</v>
      </c>
      <c r="K19" s="6" t="s">
        <v>41</v>
      </c>
      <c r="L19" s="7">
        <f>COUNTIFS(D:D,$J19,F:F,$L$1,G:G,"Success",E:E,"YES")</f>
        <v>0</v>
      </c>
      <c r="M19" s="6">
        <f>COUNTIFS(D:D,$J19,F:F,$L$1,G:G,"Failure",E:E,"YES")</f>
        <v>0</v>
      </c>
      <c r="N19" s="9">
        <f t="shared" si="2"/>
        <v>0</v>
      </c>
      <c r="O19" s="6">
        <f>COUNTIFS(D:D,$J19,F:F,$L$1,H:H,"Control",E:E,"YES")</f>
        <v>0</v>
      </c>
      <c r="P19" s="9">
        <f t="shared" si="3"/>
        <v>0</v>
      </c>
      <c r="Q19" s="9">
        <f t="shared" si="4"/>
        <v>0</v>
      </c>
    </row>
    <row r="20" spans="7:17" ht="15.75">
      <c r="G20" s="1" t="str">
        <f t="shared" si="0"/>
        <v/>
      </c>
      <c r="H20" s="1" t="str">
        <f t="shared" si="1"/>
        <v/>
      </c>
      <c r="J20" s="6">
        <v>22</v>
      </c>
      <c r="K20" s="6" t="s">
        <v>42</v>
      </c>
      <c r="L20" s="7">
        <f>COUNTIFS(D:D,$J20,F:F,$L$1,G:G,"Success",E:E,"YES")</f>
        <v>0</v>
      </c>
      <c r="M20" s="6">
        <f>COUNTIFS(D:D,$J20,F:F,$L$1,G:G,"Failure",E:E,"YES")</f>
        <v>0</v>
      </c>
      <c r="N20" s="9">
        <f t="shared" si="2"/>
        <v>0</v>
      </c>
      <c r="O20" s="6">
        <f>COUNTIFS(D:D,$J20,F:F,$L$1,H:H,"Control",E:E,"YES")</f>
        <v>0</v>
      </c>
      <c r="P20" s="9">
        <f t="shared" si="3"/>
        <v>0</v>
      </c>
      <c r="Q20" s="9">
        <f t="shared" si="4"/>
        <v>0</v>
      </c>
    </row>
    <row r="21" spans="7:17" ht="15.75">
      <c r="G21" s="1" t="str">
        <f t="shared" si="0"/>
        <v/>
      </c>
      <c r="H21" s="1" t="str">
        <f t="shared" si="1"/>
        <v/>
      </c>
      <c r="J21" s="6">
        <v>24</v>
      </c>
      <c r="K21" s="6" t="s">
        <v>43</v>
      </c>
      <c r="L21" s="7">
        <f>COUNTIFS(D:D,$J21,F:F,$L$1,G:G,"Success",E:E,"YES")</f>
        <v>0</v>
      </c>
      <c r="M21" s="6">
        <f>COUNTIFS(D:D,$J21,F:F,$L$1,G:G,"Failure",E:E,"YES")</f>
        <v>0</v>
      </c>
      <c r="N21" s="9">
        <f t="shared" si="2"/>
        <v>0</v>
      </c>
      <c r="O21" s="6">
        <f>COUNTIFS(D:D,$J21,F:F,$L$1,H:H,"Control",E:E,"YES")</f>
        <v>0</v>
      </c>
      <c r="P21" s="9">
        <f t="shared" si="3"/>
        <v>0</v>
      </c>
      <c r="Q21" s="9">
        <f t="shared" si="4"/>
        <v>0</v>
      </c>
    </row>
    <row r="22" spans="7:17" ht="15.75">
      <c r="G22" s="1" t="str">
        <f t="shared" si="0"/>
        <v/>
      </c>
      <c r="H22" s="1" t="str">
        <f t="shared" si="1"/>
        <v/>
      </c>
      <c r="J22" s="6">
        <v>25</v>
      </c>
      <c r="K22" s="6" t="s">
        <v>44</v>
      </c>
      <c r="L22" s="7">
        <f>COUNTIFS(D:D,$J22,F:F,$L$1,G:G,"Success",E:E,"YES")</f>
        <v>0</v>
      </c>
      <c r="M22" s="6">
        <f>COUNTIFS(D:D,$J22,F:F,$L$1,G:G,"Failure",E:E,"YES")</f>
        <v>0</v>
      </c>
      <c r="N22" s="9">
        <f t="shared" si="2"/>
        <v>0</v>
      </c>
      <c r="O22" s="6">
        <f>COUNTIFS(D:D,$J22,F:F,$L$1,H:H,"Control",E:E,"YES")</f>
        <v>0</v>
      </c>
      <c r="P22" s="9">
        <f t="shared" si="3"/>
        <v>0</v>
      </c>
      <c r="Q22" s="9">
        <f t="shared" si="4"/>
        <v>0</v>
      </c>
    </row>
    <row r="23" spans="7:17" ht="15.75">
      <c r="G23" s="1" t="str">
        <f t="shared" si="0"/>
        <v/>
      </c>
      <c r="H23" s="1" t="str">
        <f t="shared" si="1"/>
        <v/>
      </c>
      <c r="J23" s="6">
        <v>26</v>
      </c>
      <c r="K23" s="6" t="s">
        <v>45</v>
      </c>
      <c r="L23" s="7">
        <f>COUNTIFS(D:D,$J23,F:F,$L$1,G:G,"Success",E:E,"YES")</f>
        <v>0</v>
      </c>
      <c r="M23" s="6">
        <f>COUNTIFS(D:D,$J23,F:F,$L$1,G:G,"Failure",E:E,"YES")</f>
        <v>0</v>
      </c>
      <c r="N23" s="9">
        <f t="shared" si="2"/>
        <v>0</v>
      </c>
      <c r="O23" s="6">
        <f>COUNTIFS(D:D,$J23,F:F,$L$1,H:H,"Control",E:E,"YES")</f>
        <v>0</v>
      </c>
      <c r="P23" s="9">
        <f t="shared" si="3"/>
        <v>0</v>
      </c>
      <c r="Q23" s="9">
        <f t="shared" si="4"/>
        <v>0</v>
      </c>
    </row>
    <row r="24" spans="7:17" ht="15.75">
      <c r="G24" s="1" t="str">
        <f t="shared" si="0"/>
        <v/>
      </c>
      <c r="H24" s="1" t="str">
        <f t="shared" si="1"/>
        <v/>
      </c>
      <c r="J24" s="6">
        <v>27</v>
      </c>
      <c r="K24" s="6" t="s">
        <v>46</v>
      </c>
      <c r="L24" s="7">
        <f>COUNTIFS(D:D,$J24,F:F,$L$1,G:G,"Success",E:E,"YES")</f>
        <v>0</v>
      </c>
      <c r="M24" s="6">
        <f>COUNTIFS(D:D,$J24,F:F,$L$1,G:G,"Failure",E:E,"YES")</f>
        <v>0</v>
      </c>
      <c r="N24" s="9">
        <f t="shared" si="2"/>
        <v>0</v>
      </c>
      <c r="O24" s="6">
        <f>COUNTIFS(D:D,$J24,F:F,$L$1,H:H,"Control",E:E,"YES")</f>
        <v>0</v>
      </c>
      <c r="P24" s="9">
        <f t="shared" si="3"/>
        <v>0</v>
      </c>
      <c r="Q24" s="9">
        <f t="shared" si="4"/>
        <v>0</v>
      </c>
    </row>
    <row r="25" spans="7:17" ht="15.75">
      <c r="G25" s="1" t="str">
        <f t="shared" si="0"/>
        <v/>
      </c>
      <c r="H25" s="1" t="str">
        <f t="shared" si="1"/>
        <v/>
      </c>
      <c r="J25" s="6">
        <v>28</v>
      </c>
      <c r="K25" s="6" t="s">
        <v>47</v>
      </c>
      <c r="L25" s="7">
        <f>COUNTIFS(D:D,$J25,F:F,$L$1,G:G,"Success",E:E,"YES")</f>
        <v>0</v>
      </c>
      <c r="M25" s="6">
        <f>COUNTIFS(D:D,$J25,F:F,$L$1,G:G,"Failure",E:E,"YES")</f>
        <v>0</v>
      </c>
      <c r="N25" s="9">
        <f t="shared" si="2"/>
        <v>0</v>
      </c>
      <c r="O25" s="6">
        <f>COUNTIFS(D:D,$J25,F:F,$L$1,H:H,"Control",E:E,"YES")</f>
        <v>0</v>
      </c>
      <c r="P25" s="9">
        <f t="shared" si="3"/>
        <v>0</v>
      </c>
      <c r="Q25" s="9">
        <f t="shared" si="4"/>
        <v>0</v>
      </c>
    </row>
    <row r="26" spans="7:17" ht="15.75">
      <c r="G26" s="1" t="str">
        <f t="shared" si="0"/>
        <v/>
      </c>
      <c r="H26" s="1" t="str">
        <f t="shared" si="1"/>
        <v/>
      </c>
      <c r="J26" s="6">
        <v>41</v>
      </c>
      <c r="K26" s="6" t="s">
        <v>48</v>
      </c>
      <c r="L26" s="7">
        <f>COUNTIFS(D:D,$J26,F:F,$L$1,G:G,"Success",E:E,"YES")</f>
        <v>0</v>
      </c>
      <c r="M26" s="6">
        <f>COUNTIFS(D:D,$J26,F:F,$L$1,G:G,"Failure",E:E,"YES")</f>
        <v>0</v>
      </c>
      <c r="N26" s="9">
        <f t="shared" si="2"/>
        <v>0</v>
      </c>
      <c r="O26" s="6">
        <f>COUNTIFS(D:D,$J26,F:F,$L$1,H:H,"Control",E:E,"YES")</f>
        <v>0</v>
      </c>
      <c r="P26" s="9">
        <f t="shared" si="3"/>
        <v>0</v>
      </c>
      <c r="Q26" s="9">
        <f t="shared" si="4"/>
        <v>0</v>
      </c>
    </row>
    <row r="27" spans="7:17" ht="15.75">
      <c r="G27" s="1" t="str">
        <f t="shared" si="0"/>
        <v/>
      </c>
      <c r="H27" s="1" t="str">
        <f t="shared" si="1"/>
        <v/>
      </c>
      <c r="J27" s="6">
        <v>44</v>
      </c>
      <c r="K27" s="6" t="s">
        <v>49</v>
      </c>
      <c r="L27" s="7">
        <f>COUNTIFS(D:D,$J27,F:F,$L$1,G:G,"Success",E:E,"YES")</f>
        <v>0</v>
      </c>
      <c r="M27" s="6">
        <f>COUNTIFS(D:D,$J27,F:F,$L$1,G:G,"Failure",E:E,"YES")</f>
        <v>0</v>
      </c>
      <c r="N27" s="9">
        <f t="shared" si="2"/>
        <v>0</v>
      </c>
      <c r="O27" s="6">
        <f>COUNTIFS(D:D,$J27,F:F,$L$1,H:H,"Control",E:E,"YES")</f>
        <v>0</v>
      </c>
      <c r="P27" s="9">
        <f t="shared" si="3"/>
        <v>0</v>
      </c>
      <c r="Q27" s="9">
        <f t="shared" si="4"/>
        <v>0</v>
      </c>
    </row>
    <row r="28" spans="7:17" ht="15.75">
      <c r="G28" s="1" t="str">
        <f t="shared" si="0"/>
        <v/>
      </c>
      <c r="H28" s="1" t="str">
        <f t="shared" si="1"/>
        <v/>
      </c>
      <c r="J28" s="6">
        <v>93</v>
      </c>
      <c r="K28" s="6" t="s">
        <v>50</v>
      </c>
      <c r="L28" s="7">
        <f>COUNTIFS(D:D,$J28,F:F,$L$1,G:G,"Success",E:E,"YES")</f>
        <v>0</v>
      </c>
      <c r="M28" s="6">
        <f>COUNTIFS(D:D,$J28,F:F,$L$1,G:G,"Failure",E:E,"YES")</f>
        <v>0</v>
      </c>
      <c r="N28" s="9">
        <f t="shared" si="2"/>
        <v>0</v>
      </c>
      <c r="O28" s="6">
        <f>COUNTIFS(D:D,$J28,F:F,$L$1,H:H,"Control",E:E,"YES")</f>
        <v>0</v>
      </c>
      <c r="P28" s="9">
        <f t="shared" si="3"/>
        <v>0</v>
      </c>
      <c r="Q28" s="9">
        <f t="shared" si="4"/>
        <v>0</v>
      </c>
    </row>
    <row r="29" spans="7:17" ht="15.75">
      <c r="G29" s="1" t="str">
        <f t="shared" si="0"/>
        <v/>
      </c>
      <c r="H29" s="1" t="str">
        <f t="shared" si="1"/>
        <v/>
      </c>
      <c r="J29" s="6">
        <v>30</v>
      </c>
      <c r="K29" s="6" t="s">
        <v>51</v>
      </c>
      <c r="L29" s="7">
        <f>COUNTIFS(D:D,$J29,F:F,$L$1,G:G,"Success",E:E,"YES")</f>
        <v>0</v>
      </c>
      <c r="M29" s="6">
        <f>COUNTIFS(D:D,$J29,F:F,$L$1,G:G,"Failure",E:E,"YES")</f>
        <v>0</v>
      </c>
      <c r="N29" s="9">
        <f>IFERROR(L29/(M29+L29),0)</f>
        <v>0</v>
      </c>
      <c r="O29" s="6">
        <f>COUNTIFS(D:D,$J29,F:F,$L$1,H:H,"Control",E:E,"YES")</f>
        <v>0</v>
      </c>
      <c r="P29" s="9">
        <f>IFERROR(O29/L29,0)</f>
        <v>0</v>
      </c>
      <c r="Q29" s="9">
        <f>IFERROR(O29/(L29+M29),0)</f>
        <v>0</v>
      </c>
    </row>
    <row r="30" spans="7:17" ht="15.75">
      <c r="G30" s="1" t="str">
        <f t="shared" si="0"/>
        <v/>
      </c>
      <c r="H30" s="1" t="str">
        <f t="shared" si="1"/>
        <v/>
      </c>
      <c r="J30" s="6"/>
      <c r="K30" s="6"/>
      <c r="L30" s="7"/>
      <c r="M30" s="6"/>
      <c r="N30" s="6"/>
      <c r="O30" s="6"/>
      <c r="P30" s="6"/>
      <c r="Q30" s="6"/>
    </row>
    <row r="31" spans="7:17" ht="15.75">
      <c r="G31" s="1" t="str">
        <f t="shared" si="0"/>
        <v/>
      </c>
      <c r="H31" s="1" t="str">
        <f t="shared" si="1"/>
        <v/>
      </c>
      <c r="J31" s="6" t="s">
        <v>52</v>
      </c>
      <c r="K31" s="6" t="s">
        <v>53</v>
      </c>
      <c r="L31" s="7">
        <f>COUNTIFS(D:D,$J31,F:F,$L$1,G:G,"Success",E:E,"YES")</f>
        <v>0</v>
      </c>
      <c r="M31" s="6">
        <f>COUNTIFS(D:D,$J31,F:F,$L$1,G:G,"Failure",E:E,"YES")</f>
        <v>0</v>
      </c>
      <c r="N31" s="9">
        <f>IFERROR(L31/(M31+L31),0)</f>
        <v>0</v>
      </c>
      <c r="O31" s="6">
        <f>COUNTIFS(D:D,$J31,F:F,$L$1,H:H,"Control",E:E,"YES")</f>
        <v>0</v>
      </c>
      <c r="P31" s="9">
        <f>IFERROR(O31/L31,0)</f>
        <v>0</v>
      </c>
      <c r="Q31" s="9">
        <f>IFERROR(O31/(L31+M31),0)</f>
        <v>0</v>
      </c>
    </row>
    <row r="32" spans="7:17" ht="15.75">
      <c r="G32" s="1" t="str">
        <f t="shared" si="0"/>
        <v/>
      </c>
      <c r="H32" s="1" t="str">
        <f t="shared" si="1"/>
        <v/>
      </c>
      <c r="J32" s="6"/>
      <c r="K32" s="6" t="s">
        <v>54</v>
      </c>
      <c r="L32" s="7">
        <f>SUM(L11:L29)</f>
        <v>0</v>
      </c>
      <c r="M32" s="6">
        <f>SUM(M11:M28)</f>
        <v>0</v>
      </c>
      <c r="N32" s="9">
        <f t="shared" si="2"/>
        <v>0</v>
      </c>
      <c r="O32" s="6">
        <f>SUM(O11:O28)</f>
        <v>0</v>
      </c>
      <c r="P32" s="9">
        <f t="shared" si="3"/>
        <v>0</v>
      </c>
      <c r="Q32" s="9">
        <f t="shared" si="4"/>
        <v>0</v>
      </c>
    </row>
    <row r="33" spans="7:17" ht="15.75">
      <c r="G33" s="1" t="str">
        <f t="shared" si="0"/>
        <v/>
      </c>
      <c r="H33" s="1" t="str">
        <f t="shared" si="1"/>
        <v/>
      </c>
      <c r="J33" s="6"/>
      <c r="K33" s="6"/>
      <c r="L33" s="7"/>
      <c r="M33" s="6"/>
      <c r="N33" s="6"/>
      <c r="O33" s="6"/>
      <c r="P33" s="6"/>
      <c r="Q33" s="6"/>
    </row>
    <row r="34" spans="7:17" ht="15.75">
      <c r="G34" s="1" t="str">
        <f t="shared" si="0"/>
        <v/>
      </c>
      <c r="H34" s="1" t="str">
        <f t="shared" si="1"/>
        <v/>
      </c>
      <c r="J34" s="6"/>
      <c r="K34" s="6" t="s">
        <v>55</v>
      </c>
      <c r="L34" s="7">
        <f>L32+L31</f>
        <v>0</v>
      </c>
      <c r="M34" s="6">
        <f>M32+M31</f>
        <v>0</v>
      </c>
      <c r="N34" s="9">
        <f t="shared" si="2"/>
        <v>0</v>
      </c>
      <c r="O34" s="6">
        <f>O32+O31</f>
        <v>0</v>
      </c>
      <c r="P34" s="9">
        <f t="shared" si="3"/>
        <v>0</v>
      </c>
      <c r="Q34" s="9">
        <f t="shared" si="4"/>
        <v>0</v>
      </c>
    </row>
    <row r="35" spans="7:17" ht="15.75">
      <c r="G35" s="1" t="str">
        <f t="shared" si="0"/>
        <v/>
      </c>
      <c r="H35" s="1" t="str">
        <f t="shared" si="1"/>
        <v/>
      </c>
      <c r="J35" s="2">
        <v>20636</v>
      </c>
    </row>
    <row r="36" spans="7:17" ht="15.75">
      <c r="G36" s="1" t="str">
        <f t="shared" si="0"/>
        <v/>
      </c>
      <c r="H36" s="1" t="str">
        <f t="shared" si="1"/>
        <v/>
      </c>
    </row>
    <row r="37" spans="7:17" ht="15.75">
      <c r="G37" s="1" t="str">
        <f t="shared" si="0"/>
        <v/>
      </c>
      <c r="H37" s="1" t="str">
        <f t="shared" si="1"/>
        <v/>
      </c>
    </row>
    <row r="38" spans="7:17" ht="15.75">
      <c r="G38" s="1" t="str">
        <f t="shared" si="0"/>
        <v/>
      </c>
      <c r="H38" s="1" t="str">
        <f t="shared" si="1"/>
        <v/>
      </c>
    </row>
    <row r="39" spans="7:17" ht="15.75">
      <c r="G39" s="1" t="str">
        <f t="shared" si="0"/>
        <v/>
      </c>
      <c r="H39" s="1" t="str">
        <f t="shared" si="1"/>
        <v/>
      </c>
    </row>
    <row r="40" spans="7:17" ht="15.75">
      <c r="G40" s="1" t="str">
        <f t="shared" si="0"/>
        <v/>
      </c>
      <c r="H40" s="1" t="str">
        <f t="shared" si="1"/>
        <v/>
      </c>
    </row>
    <row r="41" spans="7:17" ht="15.75">
      <c r="G41" s="1" t="str">
        <f t="shared" si="0"/>
        <v/>
      </c>
      <c r="H41" s="1" t="str">
        <f t="shared" si="1"/>
        <v/>
      </c>
    </row>
    <row r="42" spans="7:17" ht="15.75">
      <c r="G42" s="1" t="str">
        <f t="shared" si="0"/>
        <v/>
      </c>
      <c r="H42" s="1" t="str">
        <f t="shared" si="1"/>
        <v/>
      </c>
    </row>
    <row r="43" spans="7:17" ht="15.75">
      <c r="G43" s="1" t="str">
        <f t="shared" si="0"/>
        <v/>
      </c>
      <c r="H43" s="1" t="str">
        <f t="shared" si="1"/>
        <v/>
      </c>
    </row>
    <row r="44" spans="7:17" ht="15.75">
      <c r="G44" s="1" t="str">
        <f t="shared" si="0"/>
        <v/>
      </c>
      <c r="H44" s="1" t="str">
        <f t="shared" si="1"/>
        <v/>
      </c>
    </row>
    <row r="45" spans="7:17" ht="15.75">
      <c r="G45" s="1" t="str">
        <f t="shared" si="0"/>
        <v/>
      </c>
      <c r="H45" s="1" t="str">
        <f t="shared" si="1"/>
        <v/>
      </c>
    </row>
    <row r="46" spans="7:17" ht="15.75">
      <c r="G46" s="1" t="str">
        <f t="shared" si="0"/>
        <v/>
      </c>
      <c r="H46" s="1" t="str">
        <f t="shared" si="1"/>
        <v/>
      </c>
    </row>
    <row r="47" spans="7:17" ht="15.75">
      <c r="G47" s="1" t="str">
        <f t="shared" si="0"/>
        <v/>
      </c>
      <c r="H47" s="1" t="str">
        <f t="shared" si="1"/>
        <v/>
      </c>
    </row>
    <row r="48" spans="7:17" ht="15.75">
      <c r="G48" s="1" t="str">
        <f t="shared" si="0"/>
        <v/>
      </c>
      <c r="H48" s="1" t="str">
        <f t="shared" si="1"/>
        <v/>
      </c>
    </row>
    <row r="49" spans="7:8" ht="15.75">
      <c r="G49" s="1" t="str">
        <f t="shared" si="0"/>
        <v/>
      </c>
      <c r="H49" s="1" t="str">
        <f t="shared" si="1"/>
        <v/>
      </c>
    </row>
    <row r="50" spans="7:8" ht="15.75">
      <c r="G50" s="1" t="str">
        <f t="shared" si="0"/>
        <v/>
      </c>
      <c r="H50" s="1" t="str">
        <f t="shared" si="1"/>
        <v/>
      </c>
    </row>
    <row r="51" spans="7:8" ht="15.75">
      <c r="G51" s="1" t="str">
        <f t="shared" si="0"/>
        <v/>
      </c>
      <c r="H51" s="1" t="str">
        <f t="shared" si="1"/>
        <v/>
      </c>
    </row>
    <row r="52" spans="7:8" ht="15.75">
      <c r="G52" s="1" t="str">
        <f t="shared" si="0"/>
        <v/>
      </c>
      <c r="H52" s="1" t="str">
        <f t="shared" si="1"/>
        <v/>
      </c>
    </row>
    <row r="53" spans="7:8" ht="15.75">
      <c r="G53" s="1" t="str">
        <f t="shared" si="0"/>
        <v/>
      </c>
      <c r="H53" s="1" t="str">
        <f t="shared" si="1"/>
        <v/>
      </c>
    </row>
    <row r="54" spans="7:8" ht="15.75">
      <c r="G54" s="1" t="str">
        <f t="shared" si="0"/>
        <v/>
      </c>
      <c r="H54" s="1" t="str">
        <f t="shared" si="1"/>
        <v/>
      </c>
    </row>
    <row r="55" spans="7:8" ht="15.75">
      <c r="G55" s="1" t="str">
        <f t="shared" si="0"/>
        <v/>
      </c>
      <c r="H55" s="1" t="str">
        <f t="shared" si="1"/>
        <v/>
      </c>
    </row>
    <row r="56" spans="7:8" ht="15.75">
      <c r="G56" s="1" t="str">
        <f t="shared" si="0"/>
        <v/>
      </c>
      <c r="H56" s="1" t="str">
        <f t="shared" si="1"/>
        <v/>
      </c>
    </row>
    <row r="57" spans="7:8" ht="15.75">
      <c r="G57" s="1" t="str">
        <f t="shared" si="0"/>
        <v/>
      </c>
      <c r="H57" s="1" t="str">
        <f t="shared" si="1"/>
        <v/>
      </c>
    </row>
    <row r="58" spans="7:8" ht="15.75">
      <c r="G58" s="1" t="str">
        <f t="shared" si="0"/>
        <v/>
      </c>
      <c r="H58" s="1" t="str">
        <f t="shared" si="1"/>
        <v/>
      </c>
    </row>
    <row r="59" spans="7:8" ht="15.75">
      <c r="G59" s="1" t="str">
        <f t="shared" si="0"/>
        <v/>
      </c>
      <c r="H59" s="1" t="str">
        <f t="shared" si="1"/>
        <v/>
      </c>
    </row>
    <row r="60" spans="7:8" ht="15.75">
      <c r="G60" s="1" t="str">
        <f t="shared" si="0"/>
        <v/>
      </c>
      <c r="H60" s="1" t="str">
        <f t="shared" si="1"/>
        <v/>
      </c>
    </row>
    <row r="61" spans="7:8" ht="15.75">
      <c r="G61" s="1" t="str">
        <f t="shared" si="0"/>
        <v/>
      </c>
      <c r="H61" s="1" t="str">
        <f t="shared" si="1"/>
        <v/>
      </c>
    </row>
    <row r="62" spans="7:8" ht="15.75">
      <c r="G62" s="1" t="str">
        <f t="shared" si="0"/>
        <v/>
      </c>
      <c r="H62" s="1" t="str">
        <f t="shared" si="1"/>
        <v/>
      </c>
    </row>
    <row r="63" spans="7:8" ht="15.75">
      <c r="G63" s="1" t="str">
        <f t="shared" si="0"/>
        <v/>
      </c>
      <c r="H63" s="1" t="str">
        <f t="shared" si="1"/>
        <v/>
      </c>
    </row>
    <row r="64" spans="7:8" ht="15.75">
      <c r="G64" s="1" t="str">
        <f t="shared" si="0"/>
        <v/>
      </c>
      <c r="H64" s="1" t="str">
        <f t="shared" si="1"/>
        <v/>
      </c>
    </row>
    <row r="65" spans="7:8" ht="15.75">
      <c r="G65" s="1" t="str">
        <f t="shared" si="0"/>
        <v/>
      </c>
      <c r="H65" s="1" t="str">
        <f t="shared" si="1"/>
        <v/>
      </c>
    </row>
    <row r="66" spans="7:8" ht="15.75">
      <c r="G66" s="1" t="str">
        <f t="shared" ref="G66:G129" si="5">IFERROR(IF(F66="4v5",VLOOKUP(C66,$W$1:$Y$10,3,FALSE),VLOOKUP(C66,$W$1:$Y$10,2,FALSE)),"")</f>
        <v/>
      </c>
      <c r="H66" s="1" t="str">
        <f t="shared" si="1"/>
        <v/>
      </c>
    </row>
    <row r="67" spans="7:8" ht="15.75">
      <c r="G67" s="1" t="str">
        <f t="shared" si="5"/>
        <v/>
      </c>
      <c r="H67" s="1" t="str">
        <f t="shared" ref="H67:H130" si="6">IF(C67="","",(IF(OR(C67="C",C67="P"),"Control","Uncontrolled")))</f>
        <v/>
      </c>
    </row>
    <row r="68" spans="7:8" ht="15.75">
      <c r="G68" s="1" t="str">
        <f t="shared" si="5"/>
        <v/>
      </c>
      <c r="H68" s="1" t="str">
        <f t="shared" si="6"/>
        <v/>
      </c>
    </row>
    <row r="69" spans="7:8" ht="15.75">
      <c r="G69" s="1" t="str">
        <f t="shared" si="5"/>
        <v/>
      </c>
      <c r="H69" s="1" t="str">
        <f t="shared" si="6"/>
        <v/>
      </c>
    </row>
    <row r="70" spans="7:8" ht="15.75">
      <c r="G70" s="1" t="str">
        <f t="shared" si="5"/>
        <v/>
      </c>
      <c r="H70" s="1" t="str">
        <f t="shared" si="6"/>
        <v/>
      </c>
    </row>
    <row r="71" spans="7:8" ht="15.75">
      <c r="G71" s="1" t="str">
        <f t="shared" si="5"/>
        <v/>
      </c>
      <c r="H71" s="1" t="str">
        <f t="shared" si="6"/>
        <v/>
      </c>
    </row>
    <row r="72" spans="7:8" ht="15.75">
      <c r="G72" s="1" t="str">
        <f t="shared" si="5"/>
        <v/>
      </c>
      <c r="H72" s="1" t="str">
        <f t="shared" si="6"/>
        <v/>
      </c>
    </row>
    <row r="73" spans="7:8" ht="15.75">
      <c r="G73" s="1" t="str">
        <f t="shared" si="5"/>
        <v/>
      </c>
      <c r="H73" s="1" t="str">
        <f t="shared" si="6"/>
        <v/>
      </c>
    </row>
    <row r="74" spans="7:8" ht="15.75">
      <c r="G74" s="1" t="str">
        <f t="shared" si="5"/>
        <v/>
      </c>
      <c r="H74" s="1" t="str">
        <f t="shared" si="6"/>
        <v/>
      </c>
    </row>
    <row r="75" spans="7:8" ht="15.75">
      <c r="G75" s="1" t="str">
        <f t="shared" si="5"/>
        <v/>
      </c>
      <c r="H75" s="1" t="str">
        <f t="shared" si="6"/>
        <v/>
      </c>
    </row>
    <row r="76" spans="7:8" ht="15.75">
      <c r="G76" s="1" t="str">
        <f t="shared" si="5"/>
        <v/>
      </c>
      <c r="H76" s="1" t="str">
        <f t="shared" si="6"/>
        <v/>
      </c>
    </row>
    <row r="77" spans="7:8" ht="15.75">
      <c r="G77" s="1" t="str">
        <f t="shared" si="5"/>
        <v/>
      </c>
      <c r="H77" s="1" t="str">
        <f t="shared" si="6"/>
        <v/>
      </c>
    </row>
    <row r="78" spans="7:8" ht="15.75">
      <c r="G78" s="1" t="str">
        <f t="shared" si="5"/>
        <v/>
      </c>
      <c r="H78" s="1" t="str">
        <f t="shared" si="6"/>
        <v/>
      </c>
    </row>
    <row r="79" spans="7:8" ht="15.75">
      <c r="G79" s="1" t="str">
        <f t="shared" si="5"/>
        <v/>
      </c>
      <c r="H79" s="1" t="str">
        <f t="shared" si="6"/>
        <v/>
      </c>
    </row>
    <row r="80" spans="7:8" ht="15.75">
      <c r="G80" s="1" t="str">
        <f t="shared" si="5"/>
        <v/>
      </c>
      <c r="H80" s="1" t="str">
        <f t="shared" si="6"/>
        <v/>
      </c>
    </row>
    <row r="81" spans="7:8" ht="15.75">
      <c r="G81" s="1" t="str">
        <f t="shared" si="5"/>
        <v/>
      </c>
      <c r="H81" s="1" t="str">
        <f t="shared" si="6"/>
        <v/>
      </c>
    </row>
    <row r="82" spans="7:8" ht="15.75">
      <c r="G82" s="1" t="str">
        <f t="shared" si="5"/>
        <v/>
      </c>
      <c r="H82" s="1" t="str">
        <f t="shared" si="6"/>
        <v/>
      </c>
    </row>
    <row r="83" spans="7:8" ht="15.75">
      <c r="G83" s="1" t="str">
        <f t="shared" si="5"/>
        <v/>
      </c>
      <c r="H83" s="1" t="str">
        <f t="shared" si="6"/>
        <v/>
      </c>
    </row>
    <row r="84" spans="7:8" ht="15.75">
      <c r="G84" s="1" t="str">
        <f t="shared" si="5"/>
        <v/>
      </c>
      <c r="H84" s="1" t="str">
        <f t="shared" si="6"/>
        <v/>
      </c>
    </row>
    <row r="85" spans="7:8" ht="15.75">
      <c r="G85" s="1" t="str">
        <f t="shared" si="5"/>
        <v/>
      </c>
      <c r="H85" s="1" t="str">
        <f t="shared" si="6"/>
        <v/>
      </c>
    </row>
    <row r="86" spans="7:8" ht="15.75">
      <c r="G86" s="1" t="str">
        <f t="shared" si="5"/>
        <v/>
      </c>
      <c r="H86" s="1" t="str">
        <f t="shared" si="6"/>
        <v/>
      </c>
    </row>
    <row r="87" spans="7:8" ht="15.75">
      <c r="G87" s="1" t="str">
        <f t="shared" si="5"/>
        <v/>
      </c>
      <c r="H87" s="1" t="str">
        <f t="shared" si="6"/>
        <v/>
      </c>
    </row>
    <row r="88" spans="7:8" ht="15.75">
      <c r="G88" s="1" t="str">
        <f t="shared" si="5"/>
        <v/>
      </c>
      <c r="H88" s="1" t="str">
        <f t="shared" si="6"/>
        <v/>
      </c>
    </row>
    <row r="89" spans="7:8" ht="15.75">
      <c r="G89" s="1" t="str">
        <f t="shared" si="5"/>
        <v/>
      </c>
      <c r="H89" s="1" t="str">
        <f t="shared" si="6"/>
        <v/>
      </c>
    </row>
    <row r="90" spans="7:8" ht="15.75">
      <c r="G90" s="1" t="str">
        <f t="shared" si="5"/>
        <v/>
      </c>
      <c r="H90" s="1" t="str">
        <f t="shared" si="6"/>
        <v/>
      </c>
    </row>
    <row r="91" spans="7:8" ht="15.75">
      <c r="G91" s="1" t="str">
        <f t="shared" si="5"/>
        <v/>
      </c>
      <c r="H91" s="1" t="str">
        <f t="shared" si="6"/>
        <v/>
      </c>
    </row>
    <row r="92" spans="7:8" ht="15.75">
      <c r="G92" s="1" t="str">
        <f t="shared" si="5"/>
        <v/>
      </c>
      <c r="H92" s="1" t="str">
        <f t="shared" si="6"/>
        <v/>
      </c>
    </row>
    <row r="93" spans="7:8" ht="15.75">
      <c r="G93" s="1" t="str">
        <f t="shared" si="5"/>
        <v/>
      </c>
      <c r="H93" s="1" t="str">
        <f t="shared" si="6"/>
        <v/>
      </c>
    </row>
    <row r="94" spans="7:8" ht="15.75">
      <c r="G94" s="1" t="str">
        <f t="shared" si="5"/>
        <v/>
      </c>
      <c r="H94" s="1" t="str">
        <f t="shared" si="6"/>
        <v/>
      </c>
    </row>
    <row r="95" spans="7:8" ht="15.75">
      <c r="G95" s="1" t="str">
        <f t="shared" si="5"/>
        <v/>
      </c>
      <c r="H95" s="1" t="str">
        <f t="shared" si="6"/>
        <v/>
      </c>
    </row>
    <row r="96" spans="7:8" ht="15.75">
      <c r="G96" s="1" t="str">
        <f t="shared" si="5"/>
        <v/>
      </c>
      <c r="H96" s="1" t="str">
        <f t="shared" si="6"/>
        <v/>
      </c>
    </row>
    <row r="97" spans="7:8" ht="15.75">
      <c r="G97" s="1" t="str">
        <f t="shared" si="5"/>
        <v/>
      </c>
      <c r="H97" s="1" t="str">
        <f t="shared" si="6"/>
        <v/>
      </c>
    </row>
    <row r="98" spans="7:8" ht="15.75">
      <c r="G98" s="1" t="str">
        <f t="shared" si="5"/>
        <v/>
      </c>
      <c r="H98" s="1" t="str">
        <f t="shared" si="6"/>
        <v/>
      </c>
    </row>
    <row r="99" spans="7:8" ht="15.75">
      <c r="G99" s="1" t="str">
        <f t="shared" si="5"/>
        <v/>
      </c>
      <c r="H99" s="1" t="str">
        <f t="shared" si="6"/>
        <v/>
      </c>
    </row>
    <row r="100" spans="7:8" ht="15.75">
      <c r="G100" s="1" t="str">
        <f t="shared" si="5"/>
        <v/>
      </c>
      <c r="H100" s="1" t="str">
        <f t="shared" si="6"/>
        <v/>
      </c>
    </row>
    <row r="101" spans="7:8" ht="15.75">
      <c r="G101" s="1" t="str">
        <f t="shared" si="5"/>
        <v/>
      </c>
      <c r="H101" s="1" t="str">
        <f t="shared" si="6"/>
        <v/>
      </c>
    </row>
    <row r="102" spans="7:8" ht="15.75">
      <c r="G102" s="1" t="str">
        <f t="shared" si="5"/>
        <v/>
      </c>
      <c r="H102" s="1" t="str">
        <f t="shared" si="6"/>
        <v/>
      </c>
    </row>
    <row r="103" spans="7:8" ht="15.75">
      <c r="G103" s="1" t="str">
        <f t="shared" si="5"/>
        <v/>
      </c>
      <c r="H103" s="1" t="str">
        <f t="shared" si="6"/>
        <v/>
      </c>
    </row>
    <row r="104" spans="7:8" ht="15.75">
      <c r="G104" s="1" t="str">
        <f t="shared" si="5"/>
        <v/>
      </c>
      <c r="H104" s="1" t="str">
        <f t="shared" si="6"/>
        <v/>
      </c>
    </row>
    <row r="105" spans="7:8" ht="15.75">
      <c r="G105" s="1" t="str">
        <f t="shared" si="5"/>
        <v/>
      </c>
      <c r="H105" s="1" t="str">
        <f t="shared" si="6"/>
        <v/>
      </c>
    </row>
    <row r="106" spans="7:8" ht="15.75">
      <c r="G106" s="1" t="str">
        <f t="shared" si="5"/>
        <v/>
      </c>
      <c r="H106" s="1" t="str">
        <f t="shared" si="6"/>
        <v/>
      </c>
    </row>
    <row r="107" spans="7:8" ht="15.75">
      <c r="G107" s="1" t="str">
        <f t="shared" si="5"/>
        <v/>
      </c>
      <c r="H107" s="1" t="str">
        <f t="shared" si="6"/>
        <v/>
      </c>
    </row>
    <row r="108" spans="7:8" ht="15.75">
      <c r="G108" s="1" t="str">
        <f t="shared" si="5"/>
        <v/>
      </c>
      <c r="H108" s="1" t="str">
        <f t="shared" si="6"/>
        <v/>
      </c>
    </row>
    <row r="109" spans="7:8" ht="15.75">
      <c r="G109" s="1" t="str">
        <f t="shared" si="5"/>
        <v/>
      </c>
      <c r="H109" s="1" t="str">
        <f t="shared" si="6"/>
        <v/>
      </c>
    </row>
    <row r="110" spans="7:8" ht="15.75">
      <c r="G110" s="1" t="str">
        <f t="shared" si="5"/>
        <v/>
      </c>
      <c r="H110" s="1" t="str">
        <f t="shared" si="6"/>
        <v/>
      </c>
    </row>
    <row r="111" spans="7:8" ht="15.75">
      <c r="G111" s="1" t="str">
        <f t="shared" si="5"/>
        <v/>
      </c>
      <c r="H111" s="1" t="str">
        <f t="shared" si="6"/>
        <v/>
      </c>
    </row>
    <row r="112" spans="7:8" ht="15.75">
      <c r="G112" s="1" t="str">
        <f t="shared" si="5"/>
        <v/>
      </c>
      <c r="H112" s="1" t="str">
        <f t="shared" si="6"/>
        <v/>
      </c>
    </row>
    <row r="113" spans="7:8" ht="15.75">
      <c r="G113" s="1" t="str">
        <f t="shared" si="5"/>
        <v/>
      </c>
      <c r="H113" s="1" t="str">
        <f t="shared" si="6"/>
        <v/>
      </c>
    </row>
    <row r="114" spans="7:8" ht="15.75">
      <c r="G114" s="1" t="str">
        <f t="shared" si="5"/>
        <v/>
      </c>
      <c r="H114" s="1" t="str">
        <f t="shared" si="6"/>
        <v/>
      </c>
    </row>
    <row r="115" spans="7:8" ht="15.75">
      <c r="G115" s="1" t="str">
        <f t="shared" si="5"/>
        <v/>
      </c>
      <c r="H115" s="1" t="str">
        <f t="shared" si="6"/>
        <v/>
      </c>
    </row>
    <row r="116" spans="7:8" ht="15.75">
      <c r="G116" s="1" t="str">
        <f t="shared" si="5"/>
        <v/>
      </c>
      <c r="H116" s="1" t="str">
        <f t="shared" si="6"/>
        <v/>
      </c>
    </row>
    <row r="117" spans="7:8" ht="15.75">
      <c r="G117" s="1" t="str">
        <f t="shared" si="5"/>
        <v/>
      </c>
      <c r="H117" s="1" t="str">
        <f t="shared" si="6"/>
        <v/>
      </c>
    </row>
    <row r="118" spans="7:8" ht="15.75">
      <c r="G118" s="1" t="str">
        <f t="shared" si="5"/>
        <v/>
      </c>
      <c r="H118" s="1" t="str">
        <f t="shared" si="6"/>
        <v/>
      </c>
    </row>
    <row r="119" spans="7:8" ht="15.75">
      <c r="G119" s="1" t="str">
        <f t="shared" si="5"/>
        <v/>
      </c>
      <c r="H119" s="1" t="str">
        <f t="shared" si="6"/>
        <v/>
      </c>
    </row>
    <row r="120" spans="7:8" ht="15.75">
      <c r="G120" s="1" t="str">
        <f t="shared" si="5"/>
        <v/>
      </c>
      <c r="H120" s="1" t="str">
        <f t="shared" si="6"/>
        <v/>
      </c>
    </row>
    <row r="121" spans="7:8" ht="15.75">
      <c r="G121" s="1" t="str">
        <f t="shared" si="5"/>
        <v/>
      </c>
      <c r="H121" s="1" t="str">
        <f t="shared" si="6"/>
        <v/>
      </c>
    </row>
    <row r="122" spans="7:8" ht="15.75">
      <c r="G122" s="1" t="str">
        <f t="shared" si="5"/>
        <v/>
      </c>
      <c r="H122" s="1" t="str">
        <f t="shared" si="6"/>
        <v/>
      </c>
    </row>
    <row r="123" spans="7:8" ht="15.75">
      <c r="G123" s="1" t="str">
        <f t="shared" si="5"/>
        <v/>
      </c>
      <c r="H123" s="1" t="str">
        <f t="shared" si="6"/>
        <v/>
      </c>
    </row>
    <row r="124" spans="7:8" ht="15.75">
      <c r="G124" s="1" t="str">
        <f t="shared" si="5"/>
        <v/>
      </c>
      <c r="H124" s="1" t="str">
        <f t="shared" si="6"/>
        <v/>
      </c>
    </row>
    <row r="125" spans="7:8" ht="15.75">
      <c r="G125" s="1" t="str">
        <f t="shared" si="5"/>
        <v/>
      </c>
      <c r="H125" s="1" t="str">
        <f t="shared" si="6"/>
        <v/>
      </c>
    </row>
    <row r="126" spans="7:8" ht="15.75">
      <c r="G126" s="1" t="str">
        <f t="shared" si="5"/>
        <v/>
      </c>
      <c r="H126" s="1" t="str">
        <f t="shared" si="6"/>
        <v/>
      </c>
    </row>
    <row r="127" spans="7:8" ht="15.75">
      <c r="G127" s="1" t="str">
        <f t="shared" si="5"/>
        <v/>
      </c>
      <c r="H127" s="1" t="str">
        <f t="shared" si="6"/>
        <v/>
      </c>
    </row>
    <row r="128" spans="7:8" ht="15.75">
      <c r="G128" s="1" t="str">
        <f t="shared" si="5"/>
        <v/>
      </c>
      <c r="H128" s="1" t="str">
        <f t="shared" si="6"/>
        <v/>
      </c>
    </row>
    <row r="129" spans="7:8" ht="15.75">
      <c r="G129" s="1" t="str">
        <f t="shared" si="5"/>
        <v/>
      </c>
      <c r="H129" s="1" t="str">
        <f t="shared" si="6"/>
        <v/>
      </c>
    </row>
    <row r="130" spans="7:8" ht="15.75">
      <c r="G130" s="1" t="str">
        <f t="shared" ref="G130:G193" si="7">IFERROR(IF(F130="4v5",VLOOKUP(C130,$W$1:$Y$10,3,FALSE),VLOOKUP(C130,$W$1:$Y$10,2,FALSE)),"")</f>
        <v/>
      </c>
      <c r="H130" s="1" t="str">
        <f t="shared" si="6"/>
        <v/>
      </c>
    </row>
    <row r="131" spans="7:8" ht="15.75">
      <c r="G131" s="1" t="str">
        <f t="shared" si="7"/>
        <v/>
      </c>
      <c r="H131" s="1" t="str">
        <f t="shared" ref="H131:H194" si="8">IF(C131="","",(IF(OR(C131="C",C131="P"),"Control","Uncontrolled")))</f>
        <v/>
      </c>
    </row>
    <row r="132" spans="7:8" ht="15.75">
      <c r="G132" s="1" t="str">
        <f t="shared" si="7"/>
        <v/>
      </c>
      <c r="H132" s="1" t="str">
        <f t="shared" si="8"/>
        <v/>
      </c>
    </row>
    <row r="133" spans="7:8" ht="15.75">
      <c r="G133" s="1" t="str">
        <f t="shared" si="7"/>
        <v/>
      </c>
      <c r="H133" s="1" t="str">
        <f t="shared" si="8"/>
        <v/>
      </c>
    </row>
    <row r="134" spans="7:8" ht="15.75">
      <c r="G134" s="1" t="str">
        <f t="shared" si="7"/>
        <v/>
      </c>
      <c r="H134" s="1" t="str">
        <f t="shared" si="8"/>
        <v/>
      </c>
    </row>
    <row r="135" spans="7:8" ht="15.75">
      <c r="G135" s="1" t="str">
        <f t="shared" si="7"/>
        <v/>
      </c>
      <c r="H135" s="1" t="str">
        <f t="shared" si="8"/>
        <v/>
      </c>
    </row>
    <row r="136" spans="7:8" ht="15.75">
      <c r="G136" s="1" t="str">
        <f t="shared" si="7"/>
        <v/>
      </c>
      <c r="H136" s="1" t="str">
        <f t="shared" si="8"/>
        <v/>
      </c>
    </row>
    <row r="137" spans="7:8" ht="15.75">
      <c r="G137" s="1" t="str">
        <f t="shared" si="7"/>
        <v/>
      </c>
      <c r="H137" s="1" t="str">
        <f t="shared" si="8"/>
        <v/>
      </c>
    </row>
    <row r="138" spans="7:8" ht="15.75">
      <c r="G138" s="1" t="str">
        <f t="shared" si="7"/>
        <v/>
      </c>
      <c r="H138" s="1" t="str">
        <f t="shared" si="8"/>
        <v/>
      </c>
    </row>
    <row r="139" spans="7:8" ht="15.75">
      <c r="G139" s="1" t="str">
        <f t="shared" si="7"/>
        <v/>
      </c>
      <c r="H139" s="1" t="str">
        <f t="shared" si="8"/>
        <v/>
      </c>
    </row>
    <row r="140" spans="7:8" ht="15.75">
      <c r="G140" s="1" t="str">
        <f t="shared" si="7"/>
        <v/>
      </c>
      <c r="H140" s="1" t="str">
        <f t="shared" si="8"/>
        <v/>
      </c>
    </row>
    <row r="141" spans="7:8" ht="15.75">
      <c r="G141" s="1" t="str">
        <f t="shared" si="7"/>
        <v/>
      </c>
      <c r="H141" s="1" t="str">
        <f t="shared" si="8"/>
        <v/>
      </c>
    </row>
    <row r="142" spans="7:8" ht="15.75">
      <c r="G142" s="1" t="str">
        <f t="shared" si="7"/>
        <v/>
      </c>
      <c r="H142" s="1" t="str">
        <f t="shared" si="8"/>
        <v/>
      </c>
    </row>
    <row r="143" spans="7:8" ht="15.75">
      <c r="G143" s="1" t="str">
        <f t="shared" si="7"/>
        <v/>
      </c>
      <c r="H143" s="1" t="str">
        <f t="shared" si="8"/>
        <v/>
      </c>
    </row>
    <row r="144" spans="7:8" ht="15.75">
      <c r="G144" s="1" t="str">
        <f t="shared" si="7"/>
        <v/>
      </c>
      <c r="H144" s="1" t="str">
        <f t="shared" si="8"/>
        <v/>
      </c>
    </row>
    <row r="145" spans="7:8" ht="15.75">
      <c r="G145" s="1" t="str">
        <f t="shared" si="7"/>
        <v/>
      </c>
      <c r="H145" s="1" t="str">
        <f t="shared" si="8"/>
        <v/>
      </c>
    </row>
    <row r="146" spans="7:8" ht="15.75">
      <c r="G146" s="1" t="str">
        <f t="shared" si="7"/>
        <v/>
      </c>
      <c r="H146" s="1" t="str">
        <f t="shared" si="8"/>
        <v/>
      </c>
    </row>
    <row r="147" spans="7:8" ht="15.75">
      <c r="G147" s="1" t="str">
        <f t="shared" si="7"/>
        <v/>
      </c>
      <c r="H147" s="1" t="str">
        <f t="shared" si="8"/>
        <v/>
      </c>
    </row>
    <row r="148" spans="7:8" ht="15.75">
      <c r="G148" s="1" t="str">
        <f t="shared" si="7"/>
        <v/>
      </c>
      <c r="H148" s="1" t="str">
        <f t="shared" si="8"/>
        <v/>
      </c>
    </row>
    <row r="149" spans="7:8" ht="15.75">
      <c r="G149" s="1" t="str">
        <f t="shared" si="7"/>
        <v/>
      </c>
      <c r="H149" s="1" t="str">
        <f t="shared" si="8"/>
        <v/>
      </c>
    </row>
    <row r="150" spans="7:8" ht="15.75">
      <c r="G150" s="1" t="str">
        <f t="shared" si="7"/>
        <v/>
      </c>
      <c r="H150" s="1" t="str">
        <f t="shared" si="8"/>
        <v/>
      </c>
    </row>
    <row r="151" spans="7:8" ht="15.75">
      <c r="G151" s="1" t="str">
        <f t="shared" si="7"/>
        <v/>
      </c>
      <c r="H151" s="1" t="str">
        <f t="shared" si="8"/>
        <v/>
      </c>
    </row>
    <row r="152" spans="7:8" ht="15.75">
      <c r="G152" s="1" t="str">
        <f t="shared" si="7"/>
        <v/>
      </c>
      <c r="H152" s="1" t="str">
        <f t="shared" si="8"/>
        <v/>
      </c>
    </row>
    <row r="153" spans="7:8" ht="15.75">
      <c r="G153" s="1" t="str">
        <f t="shared" si="7"/>
        <v/>
      </c>
      <c r="H153" s="1" t="str">
        <f t="shared" si="8"/>
        <v/>
      </c>
    </row>
    <row r="154" spans="7:8" ht="15.75">
      <c r="G154" s="1" t="str">
        <f t="shared" si="7"/>
        <v/>
      </c>
      <c r="H154" s="1" t="str">
        <f t="shared" si="8"/>
        <v/>
      </c>
    </row>
    <row r="155" spans="7:8" ht="15.75">
      <c r="G155" s="1" t="str">
        <f t="shared" si="7"/>
        <v/>
      </c>
      <c r="H155" s="1" t="str">
        <f t="shared" si="8"/>
        <v/>
      </c>
    </row>
    <row r="156" spans="7:8" ht="15.75">
      <c r="G156" s="1" t="str">
        <f t="shared" si="7"/>
        <v/>
      </c>
      <c r="H156" s="1" t="str">
        <f t="shared" si="8"/>
        <v/>
      </c>
    </row>
    <row r="157" spans="7:8" ht="15.75">
      <c r="G157" s="1" t="str">
        <f t="shared" si="7"/>
        <v/>
      </c>
      <c r="H157" s="1" t="str">
        <f t="shared" si="8"/>
        <v/>
      </c>
    </row>
    <row r="158" spans="7:8" ht="15.75">
      <c r="G158" s="1" t="str">
        <f t="shared" si="7"/>
        <v/>
      </c>
      <c r="H158" s="1" t="str">
        <f t="shared" si="8"/>
        <v/>
      </c>
    </row>
    <row r="159" spans="7:8" ht="15.75">
      <c r="G159" s="1" t="str">
        <f t="shared" si="7"/>
        <v/>
      </c>
      <c r="H159" s="1" t="str">
        <f t="shared" si="8"/>
        <v/>
      </c>
    </row>
    <row r="160" spans="7:8" ht="15.75">
      <c r="G160" s="1" t="str">
        <f t="shared" si="7"/>
        <v/>
      </c>
      <c r="H160" s="1" t="str">
        <f t="shared" si="8"/>
        <v/>
      </c>
    </row>
    <row r="161" spans="7:8" ht="15.75">
      <c r="G161" s="1" t="str">
        <f t="shared" si="7"/>
        <v/>
      </c>
      <c r="H161" s="1" t="str">
        <f t="shared" si="8"/>
        <v/>
      </c>
    </row>
    <row r="162" spans="7:8" ht="15.75">
      <c r="G162" s="1" t="str">
        <f t="shared" si="7"/>
        <v/>
      </c>
      <c r="H162" s="1" t="str">
        <f t="shared" si="8"/>
        <v/>
      </c>
    </row>
    <row r="163" spans="7:8" ht="15.75">
      <c r="G163" s="1" t="str">
        <f t="shared" si="7"/>
        <v/>
      </c>
      <c r="H163" s="1" t="str">
        <f t="shared" si="8"/>
        <v/>
      </c>
    </row>
    <row r="164" spans="7:8" ht="15.75">
      <c r="G164" s="1" t="str">
        <f t="shared" si="7"/>
        <v/>
      </c>
      <c r="H164" s="1" t="str">
        <f t="shared" si="8"/>
        <v/>
      </c>
    </row>
    <row r="165" spans="7:8" ht="15.75">
      <c r="G165" s="1" t="str">
        <f t="shared" si="7"/>
        <v/>
      </c>
      <c r="H165" s="1" t="str">
        <f t="shared" si="8"/>
        <v/>
      </c>
    </row>
    <row r="166" spans="7:8" ht="15.75">
      <c r="G166" s="1" t="str">
        <f t="shared" si="7"/>
        <v/>
      </c>
      <c r="H166" s="1" t="str">
        <f t="shared" si="8"/>
        <v/>
      </c>
    </row>
    <row r="167" spans="7:8" ht="15.75">
      <c r="G167" s="1" t="str">
        <f t="shared" si="7"/>
        <v/>
      </c>
      <c r="H167" s="1" t="str">
        <f t="shared" si="8"/>
        <v/>
      </c>
    </row>
    <row r="168" spans="7:8" ht="15.75">
      <c r="G168" s="1" t="str">
        <f t="shared" si="7"/>
        <v/>
      </c>
      <c r="H168" s="1" t="str">
        <f t="shared" si="8"/>
        <v/>
      </c>
    </row>
    <row r="169" spans="7:8" ht="15.75">
      <c r="G169" s="1" t="str">
        <f t="shared" si="7"/>
        <v/>
      </c>
      <c r="H169" s="1" t="str">
        <f t="shared" si="8"/>
        <v/>
      </c>
    </row>
    <row r="170" spans="7:8" ht="15.75">
      <c r="G170" s="1" t="str">
        <f t="shared" si="7"/>
        <v/>
      </c>
      <c r="H170" s="1" t="str">
        <f t="shared" si="8"/>
        <v/>
      </c>
    </row>
    <row r="171" spans="7:8" ht="15.75">
      <c r="G171" s="1" t="str">
        <f t="shared" si="7"/>
        <v/>
      </c>
      <c r="H171" s="1" t="str">
        <f t="shared" si="8"/>
        <v/>
      </c>
    </row>
    <row r="172" spans="7:8" ht="15.75">
      <c r="G172" s="1" t="str">
        <f t="shared" si="7"/>
        <v/>
      </c>
      <c r="H172" s="1" t="str">
        <f t="shared" si="8"/>
        <v/>
      </c>
    </row>
    <row r="173" spans="7:8" ht="15.75">
      <c r="G173" s="1" t="str">
        <f t="shared" si="7"/>
        <v/>
      </c>
      <c r="H173" s="1" t="str">
        <f t="shared" si="8"/>
        <v/>
      </c>
    </row>
    <row r="174" spans="7:8" ht="15.75">
      <c r="G174" s="1" t="str">
        <f t="shared" si="7"/>
        <v/>
      </c>
      <c r="H174" s="1" t="str">
        <f t="shared" si="8"/>
        <v/>
      </c>
    </row>
    <row r="175" spans="7:8" ht="15.75">
      <c r="G175" s="1" t="str">
        <f t="shared" si="7"/>
        <v/>
      </c>
      <c r="H175" s="1" t="str">
        <f t="shared" si="8"/>
        <v/>
      </c>
    </row>
    <row r="176" spans="7:8" ht="15.75">
      <c r="G176" s="1" t="str">
        <f t="shared" si="7"/>
        <v/>
      </c>
      <c r="H176" s="1" t="str">
        <f t="shared" si="8"/>
        <v/>
      </c>
    </row>
    <row r="177" spans="7:8" ht="15.75">
      <c r="G177" s="1" t="str">
        <f t="shared" si="7"/>
        <v/>
      </c>
      <c r="H177" s="1" t="str">
        <f t="shared" si="8"/>
        <v/>
      </c>
    </row>
    <row r="178" spans="7:8" ht="15.75">
      <c r="G178" s="1" t="str">
        <f t="shared" si="7"/>
        <v/>
      </c>
      <c r="H178" s="1" t="str">
        <f t="shared" si="8"/>
        <v/>
      </c>
    </row>
    <row r="179" spans="7:8" ht="15.75">
      <c r="G179" s="1" t="str">
        <f t="shared" si="7"/>
        <v/>
      </c>
      <c r="H179" s="1" t="str">
        <f t="shared" si="8"/>
        <v/>
      </c>
    </row>
    <row r="180" spans="7:8" ht="15.75">
      <c r="G180" s="1" t="str">
        <f t="shared" si="7"/>
        <v/>
      </c>
      <c r="H180" s="1" t="str">
        <f t="shared" si="8"/>
        <v/>
      </c>
    </row>
    <row r="181" spans="7:8" ht="15.75">
      <c r="G181" s="1" t="str">
        <f t="shared" si="7"/>
        <v/>
      </c>
      <c r="H181" s="1" t="str">
        <f t="shared" si="8"/>
        <v/>
      </c>
    </row>
    <row r="182" spans="7:8" ht="15.75">
      <c r="G182" s="1" t="str">
        <f t="shared" si="7"/>
        <v/>
      </c>
      <c r="H182" s="1" t="str">
        <f t="shared" si="8"/>
        <v/>
      </c>
    </row>
    <row r="183" spans="7:8" ht="15.75">
      <c r="G183" s="1" t="str">
        <f t="shared" si="7"/>
        <v/>
      </c>
      <c r="H183" s="1" t="str">
        <f t="shared" si="8"/>
        <v/>
      </c>
    </row>
    <row r="184" spans="7:8" ht="15.75">
      <c r="G184" s="1" t="str">
        <f t="shared" si="7"/>
        <v/>
      </c>
      <c r="H184" s="1" t="str">
        <f t="shared" si="8"/>
        <v/>
      </c>
    </row>
    <row r="185" spans="7:8" ht="15.75">
      <c r="G185" s="1" t="str">
        <f t="shared" si="7"/>
        <v/>
      </c>
      <c r="H185" s="1" t="str">
        <f t="shared" si="8"/>
        <v/>
      </c>
    </row>
    <row r="186" spans="7:8" ht="15.75">
      <c r="G186" s="1" t="str">
        <f t="shared" si="7"/>
        <v/>
      </c>
      <c r="H186" s="1" t="str">
        <f t="shared" si="8"/>
        <v/>
      </c>
    </row>
    <row r="187" spans="7:8" ht="15.75">
      <c r="G187" s="1" t="str">
        <f t="shared" si="7"/>
        <v/>
      </c>
      <c r="H187" s="1" t="str">
        <f t="shared" si="8"/>
        <v/>
      </c>
    </row>
    <row r="188" spans="7:8" ht="15.75">
      <c r="G188" s="1" t="str">
        <f t="shared" si="7"/>
        <v/>
      </c>
      <c r="H188" s="1" t="str">
        <f t="shared" si="8"/>
        <v/>
      </c>
    </row>
    <row r="189" spans="7:8" ht="15.75">
      <c r="G189" s="1" t="str">
        <f t="shared" si="7"/>
        <v/>
      </c>
      <c r="H189" s="1" t="str">
        <f t="shared" si="8"/>
        <v/>
      </c>
    </row>
    <row r="190" spans="7:8" ht="15.75">
      <c r="G190" s="1" t="str">
        <f t="shared" si="7"/>
        <v/>
      </c>
      <c r="H190" s="1" t="str">
        <f t="shared" si="8"/>
        <v/>
      </c>
    </row>
    <row r="191" spans="7:8" ht="15.75">
      <c r="G191" s="1" t="str">
        <f t="shared" si="7"/>
        <v/>
      </c>
      <c r="H191" s="1" t="str">
        <f t="shared" si="8"/>
        <v/>
      </c>
    </row>
    <row r="192" spans="7:8" ht="15.75">
      <c r="G192" s="1" t="str">
        <f t="shared" si="7"/>
        <v/>
      </c>
      <c r="H192" s="1" t="str">
        <f t="shared" si="8"/>
        <v/>
      </c>
    </row>
    <row r="193" spans="7:8" ht="15.75">
      <c r="G193" s="1" t="str">
        <f t="shared" si="7"/>
        <v/>
      </c>
      <c r="H193" s="1" t="str">
        <f t="shared" si="8"/>
        <v/>
      </c>
    </row>
    <row r="194" spans="7:8" ht="15.75">
      <c r="G194" s="1" t="str">
        <f t="shared" ref="G194:G257" si="9">IFERROR(IF(F194="4v5",VLOOKUP(C194,$W$1:$Y$10,3,FALSE),VLOOKUP(C194,$W$1:$Y$10,2,FALSE)),"")</f>
        <v/>
      </c>
      <c r="H194" s="1" t="str">
        <f t="shared" si="8"/>
        <v/>
      </c>
    </row>
    <row r="195" spans="7:8" ht="15.75">
      <c r="G195" s="1" t="str">
        <f t="shared" si="9"/>
        <v/>
      </c>
      <c r="H195" s="1" t="str">
        <f t="shared" ref="H195:H258" si="10">IF(C195="","",(IF(OR(C195="C",C195="P"),"Control","Uncontrolled")))</f>
        <v/>
      </c>
    </row>
    <row r="196" spans="7:8" ht="15.75">
      <c r="G196" s="1" t="str">
        <f t="shared" si="9"/>
        <v/>
      </c>
      <c r="H196" s="1" t="str">
        <f t="shared" si="10"/>
        <v/>
      </c>
    </row>
    <row r="197" spans="7:8" ht="15.75">
      <c r="G197" s="1" t="str">
        <f t="shared" si="9"/>
        <v/>
      </c>
      <c r="H197" s="1" t="str">
        <f t="shared" si="10"/>
        <v/>
      </c>
    </row>
    <row r="198" spans="7:8" ht="15.75">
      <c r="G198" s="1" t="str">
        <f t="shared" si="9"/>
        <v/>
      </c>
      <c r="H198" s="1" t="str">
        <f t="shared" si="10"/>
        <v/>
      </c>
    </row>
    <row r="199" spans="7:8" ht="15.75">
      <c r="G199" s="1" t="str">
        <f t="shared" si="9"/>
        <v/>
      </c>
      <c r="H199" s="1" t="str">
        <f t="shared" si="10"/>
        <v/>
      </c>
    </row>
    <row r="200" spans="7:8" ht="15.75">
      <c r="G200" s="1" t="str">
        <f t="shared" si="9"/>
        <v/>
      </c>
      <c r="H200" s="1" t="str">
        <f t="shared" si="10"/>
        <v/>
      </c>
    </row>
    <row r="201" spans="7:8" ht="15.75">
      <c r="G201" s="1" t="str">
        <f t="shared" si="9"/>
        <v/>
      </c>
      <c r="H201" s="1" t="str">
        <f t="shared" si="10"/>
        <v/>
      </c>
    </row>
    <row r="202" spans="7:8" ht="15.75">
      <c r="G202" s="1" t="str">
        <f t="shared" si="9"/>
        <v/>
      </c>
      <c r="H202" s="1" t="str">
        <f t="shared" si="10"/>
        <v/>
      </c>
    </row>
    <row r="203" spans="7:8" ht="15.75">
      <c r="G203" s="1" t="str">
        <f t="shared" si="9"/>
        <v/>
      </c>
      <c r="H203" s="1" t="str">
        <f t="shared" si="10"/>
        <v/>
      </c>
    </row>
    <row r="204" spans="7:8" ht="15.75">
      <c r="G204" s="1" t="str">
        <f t="shared" si="9"/>
        <v/>
      </c>
      <c r="H204" s="1" t="str">
        <f t="shared" si="10"/>
        <v/>
      </c>
    </row>
    <row r="205" spans="7:8" ht="15.75">
      <c r="G205" s="1" t="str">
        <f t="shared" si="9"/>
        <v/>
      </c>
      <c r="H205" s="1" t="str">
        <f t="shared" si="10"/>
        <v/>
      </c>
    </row>
    <row r="206" spans="7:8" ht="15.75">
      <c r="G206" s="1" t="str">
        <f t="shared" si="9"/>
        <v/>
      </c>
      <c r="H206" s="1" t="str">
        <f t="shared" si="10"/>
        <v/>
      </c>
    </row>
    <row r="207" spans="7:8" ht="15.75">
      <c r="G207" s="1" t="str">
        <f t="shared" si="9"/>
        <v/>
      </c>
      <c r="H207" s="1" t="str">
        <f t="shared" si="10"/>
        <v/>
      </c>
    </row>
    <row r="208" spans="7:8" ht="15.75">
      <c r="G208" s="1" t="str">
        <f t="shared" si="9"/>
        <v/>
      </c>
      <c r="H208" s="1" t="str">
        <f t="shared" si="10"/>
        <v/>
      </c>
    </row>
    <row r="209" spans="7:8" ht="15.75">
      <c r="G209" s="1" t="str">
        <f t="shared" si="9"/>
        <v/>
      </c>
      <c r="H209" s="1" t="str">
        <f t="shared" si="10"/>
        <v/>
      </c>
    </row>
    <row r="210" spans="7:8" ht="15.75">
      <c r="G210" s="1" t="str">
        <f t="shared" si="9"/>
        <v/>
      </c>
      <c r="H210" s="1" t="str">
        <f t="shared" si="10"/>
        <v/>
      </c>
    </row>
    <row r="211" spans="7:8" ht="15.75">
      <c r="G211" s="1" t="str">
        <f t="shared" si="9"/>
        <v/>
      </c>
      <c r="H211" s="1" t="str">
        <f t="shared" si="10"/>
        <v/>
      </c>
    </row>
    <row r="212" spans="7:8" ht="15.75">
      <c r="G212" s="1" t="str">
        <f t="shared" si="9"/>
        <v/>
      </c>
      <c r="H212" s="1" t="str">
        <f t="shared" si="10"/>
        <v/>
      </c>
    </row>
    <row r="213" spans="7:8" ht="15.75">
      <c r="G213" s="1" t="str">
        <f t="shared" si="9"/>
        <v/>
      </c>
      <c r="H213" s="1" t="str">
        <f t="shared" si="10"/>
        <v/>
      </c>
    </row>
    <row r="214" spans="7:8" ht="15.75">
      <c r="G214" s="1" t="str">
        <f t="shared" si="9"/>
        <v/>
      </c>
      <c r="H214" s="1" t="str">
        <f t="shared" si="10"/>
        <v/>
      </c>
    </row>
    <row r="215" spans="7:8" ht="15.75">
      <c r="G215" s="1" t="str">
        <f t="shared" si="9"/>
        <v/>
      </c>
      <c r="H215" s="1" t="str">
        <f t="shared" si="10"/>
        <v/>
      </c>
    </row>
    <row r="216" spans="7:8" ht="15.75">
      <c r="G216" s="1" t="str">
        <f t="shared" si="9"/>
        <v/>
      </c>
      <c r="H216" s="1" t="str">
        <f t="shared" si="10"/>
        <v/>
      </c>
    </row>
    <row r="217" spans="7:8" ht="15.75">
      <c r="G217" s="1" t="str">
        <f t="shared" si="9"/>
        <v/>
      </c>
      <c r="H217" s="1" t="str">
        <f t="shared" si="10"/>
        <v/>
      </c>
    </row>
    <row r="218" spans="7:8" ht="15.75">
      <c r="G218" s="1" t="str">
        <f t="shared" si="9"/>
        <v/>
      </c>
      <c r="H218" s="1" t="str">
        <f t="shared" si="10"/>
        <v/>
      </c>
    </row>
    <row r="219" spans="7:8" ht="15.75">
      <c r="G219" s="1" t="str">
        <f t="shared" si="9"/>
        <v/>
      </c>
      <c r="H219" s="1" t="str">
        <f t="shared" si="10"/>
        <v/>
      </c>
    </row>
    <row r="220" spans="7:8" ht="15.75">
      <c r="G220" s="1" t="str">
        <f t="shared" si="9"/>
        <v/>
      </c>
      <c r="H220" s="1" t="str">
        <f t="shared" si="10"/>
        <v/>
      </c>
    </row>
    <row r="221" spans="7:8" ht="15.75">
      <c r="G221" s="1" t="str">
        <f t="shared" si="9"/>
        <v/>
      </c>
      <c r="H221" s="1" t="str">
        <f t="shared" si="10"/>
        <v/>
      </c>
    </row>
    <row r="222" spans="7:8" ht="15.75">
      <c r="G222" s="1" t="str">
        <f t="shared" si="9"/>
        <v/>
      </c>
      <c r="H222" s="1" t="str">
        <f t="shared" si="10"/>
        <v/>
      </c>
    </row>
    <row r="223" spans="7:8" ht="15.75">
      <c r="G223" s="1" t="str">
        <f t="shared" si="9"/>
        <v/>
      </c>
      <c r="H223" s="1" t="str">
        <f t="shared" si="10"/>
        <v/>
      </c>
    </row>
    <row r="224" spans="7:8" ht="15.75">
      <c r="G224" s="1" t="str">
        <f t="shared" si="9"/>
        <v/>
      </c>
      <c r="H224" s="1" t="str">
        <f t="shared" si="10"/>
        <v/>
      </c>
    </row>
    <row r="225" spans="7:8" ht="15.75">
      <c r="G225" s="1" t="str">
        <f t="shared" si="9"/>
        <v/>
      </c>
      <c r="H225" s="1" t="str">
        <f t="shared" si="10"/>
        <v/>
      </c>
    </row>
    <row r="226" spans="7:8" ht="15.75">
      <c r="G226" s="1" t="str">
        <f t="shared" si="9"/>
        <v/>
      </c>
      <c r="H226" s="1" t="str">
        <f t="shared" si="10"/>
        <v/>
      </c>
    </row>
    <row r="227" spans="7:8" ht="15.75">
      <c r="G227" s="1" t="str">
        <f t="shared" si="9"/>
        <v/>
      </c>
      <c r="H227" s="1" t="str">
        <f t="shared" si="10"/>
        <v/>
      </c>
    </row>
    <row r="228" spans="7:8" ht="15.75">
      <c r="G228" s="1" t="str">
        <f t="shared" si="9"/>
        <v/>
      </c>
      <c r="H228" s="1" t="str">
        <f t="shared" si="10"/>
        <v/>
      </c>
    </row>
    <row r="229" spans="7:8" ht="15.75">
      <c r="G229" s="1" t="str">
        <f t="shared" si="9"/>
        <v/>
      </c>
      <c r="H229" s="1" t="str">
        <f t="shared" si="10"/>
        <v/>
      </c>
    </row>
    <row r="230" spans="7:8" ht="15.75">
      <c r="G230" s="1" t="str">
        <f t="shared" si="9"/>
        <v/>
      </c>
      <c r="H230" s="1" t="str">
        <f t="shared" si="10"/>
        <v/>
      </c>
    </row>
    <row r="231" spans="7:8" ht="15.75">
      <c r="G231" s="1" t="str">
        <f t="shared" si="9"/>
        <v/>
      </c>
      <c r="H231" s="1" t="str">
        <f t="shared" si="10"/>
        <v/>
      </c>
    </row>
    <row r="232" spans="7:8" ht="15.75">
      <c r="G232" s="1" t="str">
        <f t="shared" si="9"/>
        <v/>
      </c>
      <c r="H232" s="1" t="str">
        <f t="shared" si="10"/>
        <v/>
      </c>
    </row>
    <row r="233" spans="7:8" ht="15.75">
      <c r="G233" s="1" t="str">
        <f t="shared" si="9"/>
        <v/>
      </c>
      <c r="H233" s="1" t="str">
        <f t="shared" si="10"/>
        <v/>
      </c>
    </row>
    <row r="234" spans="7:8" ht="15.75">
      <c r="G234" s="1" t="str">
        <f t="shared" si="9"/>
        <v/>
      </c>
      <c r="H234" s="1" t="str">
        <f t="shared" si="10"/>
        <v/>
      </c>
    </row>
    <row r="235" spans="7:8" ht="15.75">
      <c r="G235" s="1" t="str">
        <f t="shared" si="9"/>
        <v/>
      </c>
      <c r="H235" s="1" t="str">
        <f t="shared" si="10"/>
        <v/>
      </c>
    </row>
    <row r="236" spans="7:8" ht="15.75">
      <c r="G236" s="1" t="str">
        <f t="shared" si="9"/>
        <v/>
      </c>
      <c r="H236" s="1" t="str">
        <f t="shared" si="10"/>
        <v/>
      </c>
    </row>
    <row r="237" spans="7:8" ht="15.75">
      <c r="G237" s="1" t="str">
        <f t="shared" si="9"/>
        <v/>
      </c>
      <c r="H237" s="1" t="str">
        <f t="shared" si="10"/>
        <v/>
      </c>
    </row>
    <row r="238" spans="7:8" ht="15.75">
      <c r="G238" s="1" t="str">
        <f t="shared" si="9"/>
        <v/>
      </c>
      <c r="H238" s="1" t="str">
        <f t="shared" si="10"/>
        <v/>
      </c>
    </row>
    <row r="239" spans="7:8" ht="15.75">
      <c r="G239" s="1" t="str">
        <f t="shared" si="9"/>
        <v/>
      </c>
      <c r="H239" s="1" t="str">
        <f t="shared" si="10"/>
        <v/>
      </c>
    </row>
    <row r="240" spans="7:8" ht="15.75">
      <c r="G240" s="1" t="str">
        <f t="shared" si="9"/>
        <v/>
      </c>
      <c r="H240" s="1" t="str">
        <f t="shared" si="10"/>
        <v/>
      </c>
    </row>
    <row r="241" spans="7:8" ht="15.75">
      <c r="G241" s="1" t="str">
        <f t="shared" si="9"/>
        <v/>
      </c>
      <c r="H241" s="1" t="str">
        <f t="shared" si="10"/>
        <v/>
      </c>
    </row>
    <row r="242" spans="7:8" ht="15.75">
      <c r="G242" s="1" t="str">
        <f t="shared" si="9"/>
        <v/>
      </c>
      <c r="H242" s="1" t="str">
        <f t="shared" si="10"/>
        <v/>
      </c>
    </row>
    <row r="243" spans="7:8" ht="15.75">
      <c r="G243" s="1" t="str">
        <f t="shared" si="9"/>
        <v/>
      </c>
      <c r="H243" s="1" t="str">
        <f t="shared" si="10"/>
        <v/>
      </c>
    </row>
    <row r="244" spans="7:8" ht="15.75">
      <c r="G244" s="1" t="str">
        <f t="shared" si="9"/>
        <v/>
      </c>
      <c r="H244" s="1" t="str">
        <f t="shared" si="10"/>
        <v/>
      </c>
    </row>
    <row r="245" spans="7:8" ht="15.75">
      <c r="G245" s="1" t="str">
        <f t="shared" si="9"/>
        <v/>
      </c>
      <c r="H245" s="1" t="str">
        <f t="shared" si="10"/>
        <v/>
      </c>
    </row>
    <row r="246" spans="7:8" ht="15.75">
      <c r="G246" s="1" t="str">
        <f t="shared" si="9"/>
        <v/>
      </c>
      <c r="H246" s="1" t="str">
        <f t="shared" si="10"/>
        <v/>
      </c>
    </row>
    <row r="247" spans="7:8" ht="15.75">
      <c r="G247" s="1" t="str">
        <f t="shared" si="9"/>
        <v/>
      </c>
      <c r="H247" s="1" t="str">
        <f t="shared" si="10"/>
        <v/>
      </c>
    </row>
    <row r="248" spans="7:8" ht="15.75">
      <c r="G248" s="1" t="str">
        <f t="shared" si="9"/>
        <v/>
      </c>
      <c r="H248" s="1" t="str">
        <f t="shared" si="10"/>
        <v/>
      </c>
    </row>
    <row r="249" spans="7:8" ht="15.75">
      <c r="G249" s="1" t="str">
        <f t="shared" si="9"/>
        <v/>
      </c>
      <c r="H249" s="1" t="str">
        <f t="shared" si="10"/>
        <v/>
      </c>
    </row>
    <row r="250" spans="7:8" ht="15.75">
      <c r="G250" s="1" t="str">
        <f t="shared" si="9"/>
        <v/>
      </c>
      <c r="H250" s="1" t="str">
        <f t="shared" si="10"/>
        <v/>
      </c>
    </row>
    <row r="251" spans="7:8" ht="15.75">
      <c r="G251" s="1" t="str">
        <f t="shared" si="9"/>
        <v/>
      </c>
      <c r="H251" s="1" t="str">
        <f t="shared" si="10"/>
        <v/>
      </c>
    </row>
    <row r="252" spans="7:8" ht="15.75">
      <c r="G252" s="1" t="str">
        <f t="shared" si="9"/>
        <v/>
      </c>
      <c r="H252" s="1" t="str">
        <f t="shared" si="10"/>
        <v/>
      </c>
    </row>
    <row r="253" spans="7:8" ht="15.75">
      <c r="G253" s="1" t="str">
        <f t="shared" si="9"/>
        <v/>
      </c>
      <c r="H253" s="1" t="str">
        <f t="shared" si="10"/>
        <v/>
      </c>
    </row>
    <row r="254" spans="7:8" ht="15.75">
      <c r="G254" s="1" t="str">
        <f t="shared" si="9"/>
        <v/>
      </c>
      <c r="H254" s="1" t="str">
        <f t="shared" si="10"/>
        <v/>
      </c>
    </row>
    <row r="255" spans="7:8" ht="15.75">
      <c r="G255" s="1" t="str">
        <f t="shared" si="9"/>
        <v/>
      </c>
      <c r="H255" s="1" t="str">
        <f t="shared" si="10"/>
        <v/>
      </c>
    </row>
    <row r="256" spans="7:8" ht="15.75">
      <c r="G256" s="1" t="str">
        <f t="shared" si="9"/>
        <v/>
      </c>
      <c r="H256" s="1" t="str">
        <f t="shared" si="10"/>
        <v/>
      </c>
    </row>
    <row r="257" spans="7:8" ht="15.75">
      <c r="G257" s="1" t="str">
        <f t="shared" si="9"/>
        <v/>
      </c>
      <c r="H257" s="1" t="str">
        <f t="shared" si="10"/>
        <v/>
      </c>
    </row>
    <row r="258" spans="7:8" ht="15.75">
      <c r="G258" s="1" t="str">
        <f t="shared" ref="G258:G321" si="11">IFERROR(IF(F258="4v5",VLOOKUP(C258,$W$1:$Y$10,3,FALSE),VLOOKUP(C258,$W$1:$Y$10,2,FALSE)),"")</f>
        <v/>
      </c>
      <c r="H258" s="1" t="str">
        <f t="shared" si="10"/>
        <v/>
      </c>
    </row>
    <row r="259" spans="7:8" ht="15.75">
      <c r="G259" s="1" t="str">
        <f t="shared" si="11"/>
        <v/>
      </c>
      <c r="H259" s="1" t="str">
        <f t="shared" ref="H259:H322" si="12">IF(C259="","",(IF(OR(C259="C",C259="P"),"Control","Uncontrolled")))</f>
        <v/>
      </c>
    </row>
    <row r="260" spans="7:8" ht="15.75">
      <c r="G260" s="1" t="str">
        <f t="shared" si="11"/>
        <v/>
      </c>
      <c r="H260" s="1" t="str">
        <f t="shared" si="12"/>
        <v/>
      </c>
    </row>
    <row r="261" spans="7:8" ht="15.75">
      <c r="G261" s="1" t="str">
        <f t="shared" si="11"/>
        <v/>
      </c>
      <c r="H261" s="1" t="str">
        <f t="shared" si="12"/>
        <v/>
      </c>
    </row>
    <row r="262" spans="7:8" ht="15.75">
      <c r="G262" s="1" t="str">
        <f t="shared" si="11"/>
        <v/>
      </c>
      <c r="H262" s="1" t="str">
        <f t="shared" si="12"/>
        <v/>
      </c>
    </row>
    <row r="263" spans="7:8" ht="15.75">
      <c r="G263" s="1" t="str">
        <f t="shared" si="11"/>
        <v/>
      </c>
      <c r="H263" s="1" t="str">
        <f t="shared" si="12"/>
        <v/>
      </c>
    </row>
    <row r="264" spans="7:8" ht="15.75">
      <c r="G264" s="1" t="str">
        <f t="shared" si="11"/>
        <v/>
      </c>
      <c r="H264" s="1" t="str">
        <f t="shared" si="12"/>
        <v/>
      </c>
    </row>
    <row r="265" spans="7:8" ht="15.75">
      <c r="G265" s="1" t="str">
        <f t="shared" si="11"/>
        <v/>
      </c>
      <c r="H265" s="1" t="str">
        <f t="shared" si="12"/>
        <v/>
      </c>
    </row>
    <row r="266" spans="7:8" ht="15.75">
      <c r="G266" s="1" t="str">
        <f t="shared" si="11"/>
        <v/>
      </c>
      <c r="H266" s="1" t="str">
        <f t="shared" si="12"/>
        <v/>
      </c>
    </row>
    <row r="267" spans="7:8" ht="15.75">
      <c r="G267" s="1" t="str">
        <f t="shared" si="11"/>
        <v/>
      </c>
      <c r="H267" s="1" t="str">
        <f t="shared" si="12"/>
        <v/>
      </c>
    </row>
    <row r="268" spans="7:8" ht="15.75">
      <c r="G268" s="1" t="str">
        <f t="shared" si="11"/>
        <v/>
      </c>
      <c r="H268" s="1" t="str">
        <f t="shared" si="12"/>
        <v/>
      </c>
    </row>
    <row r="269" spans="7:8" ht="15.75">
      <c r="G269" s="1" t="str">
        <f t="shared" si="11"/>
        <v/>
      </c>
      <c r="H269" s="1" t="str">
        <f t="shared" si="12"/>
        <v/>
      </c>
    </row>
    <row r="270" spans="7:8" ht="15.75">
      <c r="G270" s="1" t="str">
        <f t="shared" si="11"/>
        <v/>
      </c>
      <c r="H270" s="1" t="str">
        <f t="shared" si="12"/>
        <v/>
      </c>
    </row>
    <row r="271" spans="7:8" ht="15.75">
      <c r="G271" s="1" t="str">
        <f t="shared" si="11"/>
        <v/>
      </c>
      <c r="H271" s="1" t="str">
        <f t="shared" si="12"/>
        <v/>
      </c>
    </row>
    <row r="272" spans="7:8" ht="15.75">
      <c r="G272" s="1" t="str">
        <f t="shared" si="11"/>
        <v/>
      </c>
      <c r="H272" s="1" t="str">
        <f t="shared" si="12"/>
        <v/>
      </c>
    </row>
    <row r="273" spans="7:8" ht="15.75">
      <c r="G273" s="1" t="str">
        <f t="shared" si="11"/>
        <v/>
      </c>
      <c r="H273" s="1" t="str">
        <f t="shared" si="12"/>
        <v/>
      </c>
    </row>
    <row r="274" spans="7:8" ht="15.75">
      <c r="G274" s="1" t="str">
        <f t="shared" si="11"/>
        <v/>
      </c>
      <c r="H274" s="1" t="str">
        <f t="shared" si="12"/>
        <v/>
      </c>
    </row>
    <row r="275" spans="7:8" ht="15.75">
      <c r="G275" s="1" t="str">
        <f t="shared" si="11"/>
        <v/>
      </c>
      <c r="H275" s="1" t="str">
        <f t="shared" si="12"/>
        <v/>
      </c>
    </row>
    <row r="276" spans="7:8" ht="15.75">
      <c r="G276" s="1" t="str">
        <f t="shared" si="11"/>
        <v/>
      </c>
      <c r="H276" s="1" t="str">
        <f t="shared" si="12"/>
        <v/>
      </c>
    </row>
    <row r="277" spans="7:8" ht="15.75">
      <c r="G277" s="1" t="str">
        <f t="shared" si="11"/>
        <v/>
      </c>
      <c r="H277" s="1" t="str">
        <f t="shared" si="12"/>
        <v/>
      </c>
    </row>
    <row r="278" spans="7:8" ht="15.75">
      <c r="G278" s="1" t="str">
        <f t="shared" si="11"/>
        <v/>
      </c>
      <c r="H278" s="1" t="str">
        <f t="shared" si="12"/>
        <v/>
      </c>
    </row>
    <row r="279" spans="7:8" ht="15.75">
      <c r="G279" s="1" t="str">
        <f t="shared" si="11"/>
        <v/>
      </c>
      <c r="H279" s="1" t="str">
        <f t="shared" si="12"/>
        <v/>
      </c>
    </row>
    <row r="280" spans="7:8" ht="15.75">
      <c r="G280" s="1" t="str">
        <f t="shared" si="11"/>
        <v/>
      </c>
      <c r="H280" s="1" t="str">
        <f t="shared" si="12"/>
        <v/>
      </c>
    </row>
    <row r="281" spans="7:8" ht="15.75">
      <c r="G281" s="1" t="str">
        <f t="shared" si="11"/>
        <v/>
      </c>
      <c r="H281" s="1" t="str">
        <f t="shared" si="12"/>
        <v/>
      </c>
    </row>
    <row r="282" spans="7:8" ht="15.75">
      <c r="G282" s="1" t="str">
        <f t="shared" si="11"/>
        <v/>
      </c>
      <c r="H282" s="1" t="str">
        <f t="shared" si="12"/>
        <v/>
      </c>
    </row>
    <row r="283" spans="7:8" ht="15.75">
      <c r="G283" s="1" t="str">
        <f t="shared" si="11"/>
        <v/>
      </c>
      <c r="H283" s="1" t="str">
        <f t="shared" si="12"/>
        <v/>
      </c>
    </row>
    <row r="284" spans="7:8" ht="15.75">
      <c r="G284" s="1" t="str">
        <f t="shared" si="11"/>
        <v/>
      </c>
      <c r="H284" s="1" t="str">
        <f t="shared" si="12"/>
        <v/>
      </c>
    </row>
    <row r="285" spans="7:8" ht="15.75">
      <c r="G285" s="1" t="str">
        <f t="shared" si="11"/>
        <v/>
      </c>
      <c r="H285" s="1" t="str">
        <f t="shared" si="12"/>
        <v/>
      </c>
    </row>
    <row r="286" spans="7:8" ht="15.75">
      <c r="G286" s="1" t="str">
        <f t="shared" si="11"/>
        <v/>
      </c>
      <c r="H286" s="1" t="str">
        <f t="shared" si="12"/>
        <v/>
      </c>
    </row>
    <row r="287" spans="7:8" ht="15.75">
      <c r="G287" s="1" t="str">
        <f t="shared" si="11"/>
        <v/>
      </c>
      <c r="H287" s="1" t="str">
        <f t="shared" si="12"/>
        <v/>
      </c>
    </row>
    <row r="288" spans="7:8" ht="15.75">
      <c r="G288" s="1" t="str">
        <f t="shared" si="11"/>
        <v/>
      </c>
      <c r="H288" s="1" t="str">
        <f t="shared" si="12"/>
        <v/>
      </c>
    </row>
    <row r="289" spans="7:8" ht="15.75">
      <c r="G289" s="1" t="str">
        <f t="shared" si="11"/>
        <v/>
      </c>
      <c r="H289" s="1" t="str">
        <f t="shared" si="12"/>
        <v/>
      </c>
    </row>
    <row r="290" spans="7:8" ht="15.75">
      <c r="G290" s="1" t="str">
        <f t="shared" si="11"/>
        <v/>
      </c>
      <c r="H290" s="1" t="str">
        <f t="shared" si="12"/>
        <v/>
      </c>
    </row>
    <row r="291" spans="7:8" ht="15.75">
      <c r="G291" s="1" t="str">
        <f t="shared" si="11"/>
        <v/>
      </c>
      <c r="H291" s="1" t="str">
        <f t="shared" si="12"/>
        <v/>
      </c>
    </row>
    <row r="292" spans="7:8" ht="15.75">
      <c r="G292" s="1" t="str">
        <f t="shared" si="11"/>
        <v/>
      </c>
      <c r="H292" s="1" t="str">
        <f t="shared" si="12"/>
        <v/>
      </c>
    </row>
    <row r="293" spans="7:8" ht="15.75">
      <c r="G293" s="1" t="str">
        <f t="shared" si="11"/>
        <v/>
      </c>
      <c r="H293" s="1" t="str">
        <f t="shared" si="12"/>
        <v/>
      </c>
    </row>
    <row r="294" spans="7:8" ht="15.75">
      <c r="G294" s="1" t="str">
        <f t="shared" si="11"/>
        <v/>
      </c>
      <c r="H294" s="1" t="str">
        <f t="shared" si="12"/>
        <v/>
      </c>
    </row>
    <row r="295" spans="7:8" ht="15.75">
      <c r="G295" s="1" t="str">
        <f t="shared" si="11"/>
        <v/>
      </c>
      <c r="H295" s="1" t="str">
        <f t="shared" si="12"/>
        <v/>
      </c>
    </row>
    <row r="296" spans="7:8" ht="15.75">
      <c r="G296" s="1" t="str">
        <f t="shared" si="11"/>
        <v/>
      </c>
      <c r="H296" s="1" t="str">
        <f t="shared" si="12"/>
        <v/>
      </c>
    </row>
    <row r="297" spans="7:8" ht="15.75">
      <c r="G297" s="1" t="str">
        <f t="shared" si="11"/>
        <v/>
      </c>
      <c r="H297" s="1" t="str">
        <f t="shared" si="12"/>
        <v/>
      </c>
    </row>
    <row r="298" spans="7:8" ht="15.75">
      <c r="G298" s="1" t="str">
        <f t="shared" si="11"/>
        <v/>
      </c>
      <c r="H298" s="1" t="str">
        <f t="shared" si="12"/>
        <v/>
      </c>
    </row>
    <row r="299" spans="7:8" ht="15.75">
      <c r="G299" s="1" t="str">
        <f t="shared" si="11"/>
        <v/>
      </c>
      <c r="H299" s="1" t="str">
        <f t="shared" si="12"/>
        <v/>
      </c>
    </row>
    <row r="300" spans="7:8" ht="15.75">
      <c r="G300" s="1" t="str">
        <f t="shared" si="11"/>
        <v/>
      </c>
      <c r="H300" s="1" t="str">
        <f t="shared" si="12"/>
        <v/>
      </c>
    </row>
    <row r="301" spans="7:8" ht="15.75">
      <c r="G301" s="1" t="str">
        <f t="shared" si="11"/>
        <v/>
      </c>
      <c r="H301" s="1" t="str">
        <f t="shared" si="12"/>
        <v/>
      </c>
    </row>
    <row r="302" spans="7:8" ht="15.75">
      <c r="G302" s="1" t="str">
        <f t="shared" si="11"/>
        <v/>
      </c>
      <c r="H302" s="1" t="str">
        <f t="shared" si="12"/>
        <v/>
      </c>
    </row>
    <row r="303" spans="7:8" ht="15.75">
      <c r="G303" s="1" t="str">
        <f t="shared" si="11"/>
        <v/>
      </c>
      <c r="H303" s="1" t="str">
        <f t="shared" si="12"/>
        <v/>
      </c>
    </row>
    <row r="304" spans="7:8" ht="15.75">
      <c r="G304" s="1" t="str">
        <f t="shared" si="11"/>
        <v/>
      </c>
      <c r="H304" s="1" t="str">
        <f t="shared" si="12"/>
        <v/>
      </c>
    </row>
    <row r="305" spans="7:8" ht="15.75">
      <c r="G305" s="1" t="str">
        <f t="shared" si="11"/>
        <v/>
      </c>
      <c r="H305" s="1" t="str">
        <f t="shared" si="12"/>
        <v/>
      </c>
    </row>
    <row r="306" spans="7:8" ht="15.75">
      <c r="G306" s="1" t="str">
        <f t="shared" si="11"/>
        <v/>
      </c>
      <c r="H306" s="1" t="str">
        <f t="shared" si="12"/>
        <v/>
      </c>
    </row>
    <row r="307" spans="7:8" ht="15.75">
      <c r="G307" s="1" t="str">
        <f t="shared" si="11"/>
        <v/>
      </c>
      <c r="H307" s="1" t="str">
        <f t="shared" si="12"/>
        <v/>
      </c>
    </row>
    <row r="308" spans="7:8" ht="15.75">
      <c r="G308" s="1" t="str">
        <f t="shared" si="11"/>
        <v/>
      </c>
      <c r="H308" s="1" t="str">
        <f t="shared" si="12"/>
        <v/>
      </c>
    </row>
    <row r="309" spans="7:8" ht="15.75">
      <c r="G309" s="1" t="str">
        <f t="shared" si="11"/>
        <v/>
      </c>
      <c r="H309" s="1" t="str">
        <f t="shared" si="12"/>
        <v/>
      </c>
    </row>
    <row r="310" spans="7:8" ht="15.75">
      <c r="G310" s="1" t="str">
        <f t="shared" si="11"/>
        <v/>
      </c>
      <c r="H310" s="1" t="str">
        <f t="shared" si="12"/>
        <v/>
      </c>
    </row>
    <row r="311" spans="7:8" ht="15.75">
      <c r="G311" s="1" t="str">
        <f t="shared" si="11"/>
        <v/>
      </c>
      <c r="H311" s="1" t="str">
        <f t="shared" si="12"/>
        <v/>
      </c>
    </row>
    <row r="312" spans="7:8" ht="15.75">
      <c r="G312" s="1" t="str">
        <f t="shared" si="11"/>
        <v/>
      </c>
      <c r="H312" s="1" t="str">
        <f t="shared" si="12"/>
        <v/>
      </c>
    </row>
    <row r="313" spans="7:8" ht="15.75">
      <c r="G313" s="1" t="str">
        <f t="shared" si="11"/>
        <v/>
      </c>
      <c r="H313" s="1" t="str">
        <f t="shared" si="12"/>
        <v/>
      </c>
    </row>
    <row r="314" spans="7:8" ht="15.75">
      <c r="G314" s="1" t="str">
        <f t="shared" si="11"/>
        <v/>
      </c>
      <c r="H314" s="1" t="str">
        <f t="shared" si="12"/>
        <v/>
      </c>
    </row>
    <row r="315" spans="7:8" ht="15.75">
      <c r="G315" s="1" t="str">
        <f t="shared" si="11"/>
        <v/>
      </c>
      <c r="H315" s="1" t="str">
        <f t="shared" si="12"/>
        <v/>
      </c>
    </row>
    <row r="316" spans="7:8" ht="15.75">
      <c r="G316" s="1" t="str">
        <f t="shared" si="11"/>
        <v/>
      </c>
      <c r="H316" s="1" t="str">
        <f t="shared" si="12"/>
        <v/>
      </c>
    </row>
    <row r="317" spans="7:8" ht="15.75">
      <c r="G317" s="1" t="str">
        <f t="shared" si="11"/>
        <v/>
      </c>
      <c r="H317" s="1" t="str">
        <f t="shared" si="12"/>
        <v/>
      </c>
    </row>
    <row r="318" spans="7:8" ht="15.75">
      <c r="G318" s="1" t="str">
        <f t="shared" si="11"/>
        <v/>
      </c>
      <c r="H318" s="1" t="str">
        <f t="shared" si="12"/>
        <v/>
      </c>
    </row>
    <row r="319" spans="7:8" ht="15.75">
      <c r="G319" s="1" t="str">
        <f t="shared" si="11"/>
        <v/>
      </c>
      <c r="H319" s="1" t="str">
        <f t="shared" si="12"/>
        <v/>
      </c>
    </row>
    <row r="320" spans="7:8" ht="15.75">
      <c r="G320" s="1" t="str">
        <f t="shared" si="11"/>
        <v/>
      </c>
      <c r="H320" s="1" t="str">
        <f t="shared" si="12"/>
        <v/>
      </c>
    </row>
    <row r="321" spans="7:8" ht="15.75">
      <c r="G321" s="1" t="str">
        <f t="shared" si="11"/>
        <v/>
      </c>
      <c r="H321" s="1" t="str">
        <f t="shared" si="12"/>
        <v/>
      </c>
    </row>
    <row r="322" spans="7:8" ht="15.75">
      <c r="G322" s="1" t="str">
        <f t="shared" ref="G322:G385" si="13">IFERROR(IF(F322="4v5",VLOOKUP(C322,$W$1:$Y$10,3,FALSE),VLOOKUP(C322,$W$1:$Y$10,2,FALSE)),"")</f>
        <v/>
      </c>
      <c r="H322" s="1" t="str">
        <f t="shared" si="12"/>
        <v/>
      </c>
    </row>
    <row r="323" spans="7:8" ht="15.75">
      <c r="G323" s="1" t="str">
        <f t="shared" si="13"/>
        <v/>
      </c>
      <c r="H323" s="1" t="str">
        <f t="shared" ref="H323:H386" si="14">IF(C323="","",(IF(OR(C323="C",C323="P"),"Control","Uncontrolled")))</f>
        <v/>
      </c>
    </row>
    <row r="324" spans="7:8" ht="15.75">
      <c r="G324" s="1" t="str">
        <f t="shared" si="13"/>
        <v/>
      </c>
      <c r="H324" s="1" t="str">
        <f t="shared" si="14"/>
        <v/>
      </c>
    </row>
    <row r="325" spans="7:8" ht="15.75">
      <c r="G325" s="1" t="str">
        <f t="shared" si="13"/>
        <v/>
      </c>
      <c r="H325" s="1" t="str">
        <f t="shared" si="14"/>
        <v/>
      </c>
    </row>
    <row r="326" spans="7:8" ht="15.75">
      <c r="G326" s="1" t="str">
        <f t="shared" si="13"/>
        <v/>
      </c>
      <c r="H326" s="1" t="str">
        <f t="shared" si="14"/>
        <v/>
      </c>
    </row>
    <row r="327" spans="7:8" ht="15.75">
      <c r="G327" s="1" t="str">
        <f t="shared" si="13"/>
        <v/>
      </c>
      <c r="H327" s="1" t="str">
        <f t="shared" si="14"/>
        <v/>
      </c>
    </row>
    <row r="328" spans="7:8" ht="15.75">
      <c r="G328" s="1" t="str">
        <f t="shared" si="13"/>
        <v/>
      </c>
      <c r="H328" s="1" t="str">
        <f t="shared" si="14"/>
        <v/>
      </c>
    </row>
    <row r="329" spans="7:8" ht="15.75">
      <c r="G329" s="1" t="str">
        <f t="shared" si="13"/>
        <v/>
      </c>
      <c r="H329" s="1" t="str">
        <f t="shared" si="14"/>
        <v/>
      </c>
    </row>
    <row r="330" spans="7:8" ht="15.75">
      <c r="G330" s="1" t="str">
        <f t="shared" si="13"/>
        <v/>
      </c>
      <c r="H330" s="1" t="str">
        <f t="shared" si="14"/>
        <v/>
      </c>
    </row>
    <row r="331" spans="7:8" ht="15.75">
      <c r="G331" s="1" t="str">
        <f t="shared" si="13"/>
        <v/>
      </c>
      <c r="H331" s="1" t="str">
        <f t="shared" si="14"/>
        <v/>
      </c>
    </row>
    <row r="332" spans="7:8" ht="15.75">
      <c r="G332" s="1" t="str">
        <f t="shared" si="13"/>
        <v/>
      </c>
      <c r="H332" s="1" t="str">
        <f t="shared" si="14"/>
        <v/>
      </c>
    </row>
    <row r="333" spans="7:8" ht="15.75">
      <c r="G333" s="1" t="str">
        <f t="shared" si="13"/>
        <v/>
      </c>
      <c r="H333" s="1" t="str">
        <f t="shared" si="14"/>
        <v/>
      </c>
    </row>
    <row r="334" spans="7:8" ht="15.75">
      <c r="G334" s="1" t="str">
        <f t="shared" si="13"/>
        <v/>
      </c>
      <c r="H334" s="1" t="str">
        <f t="shared" si="14"/>
        <v/>
      </c>
    </row>
    <row r="335" spans="7:8" ht="15.75">
      <c r="G335" s="1" t="str">
        <f t="shared" si="13"/>
        <v/>
      </c>
      <c r="H335" s="1" t="str">
        <f t="shared" si="14"/>
        <v/>
      </c>
    </row>
    <row r="336" spans="7:8" ht="15.75">
      <c r="G336" s="1" t="str">
        <f t="shared" si="13"/>
        <v/>
      </c>
      <c r="H336" s="1" t="str">
        <f t="shared" si="14"/>
        <v/>
      </c>
    </row>
    <row r="337" spans="7:8" ht="15.75">
      <c r="G337" s="1" t="str">
        <f t="shared" si="13"/>
        <v/>
      </c>
      <c r="H337" s="1" t="str">
        <f t="shared" si="14"/>
        <v/>
      </c>
    </row>
    <row r="338" spans="7:8" ht="15.75">
      <c r="G338" s="1" t="str">
        <f t="shared" si="13"/>
        <v/>
      </c>
      <c r="H338" s="1" t="str">
        <f t="shared" si="14"/>
        <v/>
      </c>
    </row>
    <row r="339" spans="7:8" ht="15.75">
      <c r="G339" s="1" t="str">
        <f t="shared" si="13"/>
        <v/>
      </c>
      <c r="H339" s="1" t="str">
        <f t="shared" si="14"/>
        <v/>
      </c>
    </row>
    <row r="340" spans="7:8" ht="15.75">
      <c r="G340" s="1" t="str">
        <f t="shared" si="13"/>
        <v/>
      </c>
      <c r="H340" s="1" t="str">
        <f t="shared" si="14"/>
        <v/>
      </c>
    </row>
    <row r="341" spans="7:8" ht="15.75">
      <c r="G341" s="1" t="str">
        <f t="shared" si="13"/>
        <v/>
      </c>
      <c r="H341" s="1" t="str">
        <f t="shared" si="14"/>
        <v/>
      </c>
    </row>
    <row r="342" spans="7:8" ht="15.75">
      <c r="G342" s="1" t="str">
        <f t="shared" si="13"/>
        <v/>
      </c>
      <c r="H342" s="1" t="str">
        <f t="shared" si="14"/>
        <v/>
      </c>
    </row>
    <row r="343" spans="7:8" ht="15.75">
      <c r="G343" s="1" t="str">
        <f t="shared" si="13"/>
        <v/>
      </c>
      <c r="H343" s="1" t="str">
        <f t="shared" si="14"/>
        <v/>
      </c>
    </row>
    <row r="344" spans="7:8" ht="15.75">
      <c r="G344" s="1" t="str">
        <f t="shared" si="13"/>
        <v/>
      </c>
      <c r="H344" s="1" t="str">
        <f t="shared" si="14"/>
        <v/>
      </c>
    </row>
    <row r="345" spans="7:8" ht="15.75">
      <c r="G345" s="1" t="str">
        <f t="shared" si="13"/>
        <v/>
      </c>
      <c r="H345" s="1" t="str">
        <f t="shared" si="14"/>
        <v/>
      </c>
    </row>
    <row r="346" spans="7:8" ht="15.75">
      <c r="G346" s="1" t="str">
        <f t="shared" si="13"/>
        <v/>
      </c>
      <c r="H346" s="1" t="str">
        <f t="shared" si="14"/>
        <v/>
      </c>
    </row>
    <row r="347" spans="7:8" ht="15.75">
      <c r="G347" s="1" t="str">
        <f t="shared" si="13"/>
        <v/>
      </c>
      <c r="H347" s="1" t="str">
        <f t="shared" si="14"/>
        <v/>
      </c>
    </row>
    <row r="348" spans="7:8" ht="15.75">
      <c r="G348" s="1" t="str">
        <f t="shared" si="13"/>
        <v/>
      </c>
      <c r="H348" s="1" t="str">
        <f t="shared" si="14"/>
        <v/>
      </c>
    </row>
    <row r="349" spans="7:8" ht="15.75">
      <c r="G349" s="1" t="str">
        <f t="shared" si="13"/>
        <v/>
      </c>
      <c r="H349" s="1" t="str">
        <f t="shared" si="14"/>
        <v/>
      </c>
    </row>
    <row r="350" spans="7:8" ht="15.75">
      <c r="G350" s="1" t="str">
        <f t="shared" si="13"/>
        <v/>
      </c>
      <c r="H350" s="1" t="str">
        <f t="shared" si="14"/>
        <v/>
      </c>
    </row>
    <row r="351" spans="7:8" ht="15.75">
      <c r="G351" s="1" t="str">
        <f t="shared" si="13"/>
        <v/>
      </c>
      <c r="H351" s="1" t="str">
        <f t="shared" si="14"/>
        <v/>
      </c>
    </row>
    <row r="352" spans="7:8" ht="15.75">
      <c r="G352" s="1" t="str">
        <f t="shared" si="13"/>
        <v/>
      </c>
      <c r="H352" s="1" t="str">
        <f t="shared" si="14"/>
        <v/>
      </c>
    </row>
    <row r="353" spans="7:8" ht="15.75">
      <c r="G353" s="1" t="str">
        <f t="shared" si="13"/>
        <v/>
      </c>
      <c r="H353" s="1" t="str">
        <f t="shared" si="14"/>
        <v/>
      </c>
    </row>
    <row r="354" spans="7:8" ht="15.75">
      <c r="G354" s="1" t="str">
        <f t="shared" si="13"/>
        <v/>
      </c>
      <c r="H354" s="1" t="str">
        <f t="shared" si="14"/>
        <v/>
      </c>
    </row>
    <row r="355" spans="7:8" ht="15.75">
      <c r="G355" s="1" t="str">
        <f t="shared" si="13"/>
        <v/>
      </c>
      <c r="H355" s="1" t="str">
        <f t="shared" si="14"/>
        <v/>
      </c>
    </row>
    <row r="356" spans="7:8" ht="15.75">
      <c r="G356" s="1" t="str">
        <f t="shared" si="13"/>
        <v/>
      </c>
      <c r="H356" s="1" t="str">
        <f t="shared" si="14"/>
        <v/>
      </c>
    </row>
    <row r="357" spans="7:8" ht="15.75">
      <c r="G357" s="1" t="str">
        <f t="shared" si="13"/>
        <v/>
      </c>
      <c r="H357" s="1" t="str">
        <f t="shared" si="14"/>
        <v/>
      </c>
    </row>
    <row r="358" spans="7:8" ht="15.75">
      <c r="G358" s="1" t="str">
        <f t="shared" si="13"/>
        <v/>
      </c>
      <c r="H358" s="1" t="str">
        <f t="shared" si="14"/>
        <v/>
      </c>
    </row>
    <row r="359" spans="7:8" ht="15.75">
      <c r="G359" s="1" t="str">
        <f t="shared" si="13"/>
        <v/>
      </c>
      <c r="H359" s="1" t="str">
        <f t="shared" si="14"/>
        <v/>
      </c>
    </row>
    <row r="360" spans="7:8" ht="15.75">
      <c r="G360" s="1" t="str">
        <f t="shared" si="13"/>
        <v/>
      </c>
      <c r="H360" s="1" t="str">
        <f t="shared" si="14"/>
        <v/>
      </c>
    </row>
    <row r="361" spans="7:8" ht="15.75">
      <c r="G361" s="1" t="str">
        <f t="shared" si="13"/>
        <v/>
      </c>
      <c r="H361" s="1" t="str">
        <f t="shared" si="14"/>
        <v/>
      </c>
    </row>
    <row r="362" spans="7:8" ht="15.75">
      <c r="G362" s="1" t="str">
        <f t="shared" si="13"/>
        <v/>
      </c>
      <c r="H362" s="1" t="str">
        <f t="shared" si="14"/>
        <v/>
      </c>
    </row>
    <row r="363" spans="7:8" ht="15.75">
      <c r="G363" s="1" t="str">
        <f t="shared" si="13"/>
        <v/>
      </c>
      <c r="H363" s="1" t="str">
        <f t="shared" si="14"/>
        <v/>
      </c>
    </row>
    <row r="364" spans="7:8" ht="15.75">
      <c r="G364" s="1" t="str">
        <f t="shared" si="13"/>
        <v/>
      </c>
      <c r="H364" s="1" t="str">
        <f t="shared" si="14"/>
        <v/>
      </c>
    </row>
    <row r="365" spans="7:8" ht="15.75">
      <c r="G365" s="1" t="str">
        <f t="shared" si="13"/>
        <v/>
      </c>
      <c r="H365" s="1" t="str">
        <f t="shared" si="14"/>
        <v/>
      </c>
    </row>
    <row r="366" spans="7:8" ht="15.75">
      <c r="G366" s="1" t="str">
        <f t="shared" si="13"/>
        <v/>
      </c>
      <c r="H366" s="1" t="str">
        <f t="shared" si="14"/>
        <v/>
      </c>
    </row>
    <row r="367" spans="7:8" ht="15.75">
      <c r="G367" s="1" t="str">
        <f t="shared" si="13"/>
        <v/>
      </c>
      <c r="H367" s="1" t="str">
        <f t="shared" si="14"/>
        <v/>
      </c>
    </row>
    <row r="368" spans="7:8" ht="15.75">
      <c r="G368" s="1" t="str">
        <f t="shared" si="13"/>
        <v/>
      </c>
      <c r="H368" s="1" t="str">
        <f t="shared" si="14"/>
        <v/>
      </c>
    </row>
    <row r="369" spans="7:8" ht="15.75">
      <c r="G369" s="1" t="str">
        <f t="shared" si="13"/>
        <v/>
      </c>
      <c r="H369" s="1" t="str">
        <f t="shared" si="14"/>
        <v/>
      </c>
    </row>
    <row r="370" spans="7:8" ht="15.75">
      <c r="G370" s="1" t="str">
        <f t="shared" si="13"/>
        <v/>
      </c>
      <c r="H370" s="1" t="str">
        <f t="shared" si="14"/>
        <v/>
      </c>
    </row>
    <row r="371" spans="7:8" ht="15.75">
      <c r="G371" s="1" t="str">
        <f t="shared" si="13"/>
        <v/>
      </c>
      <c r="H371" s="1" t="str">
        <f t="shared" si="14"/>
        <v/>
      </c>
    </row>
    <row r="372" spans="7:8" ht="15.75">
      <c r="G372" s="1" t="str">
        <f t="shared" si="13"/>
        <v/>
      </c>
      <c r="H372" s="1" t="str">
        <f t="shared" si="14"/>
        <v/>
      </c>
    </row>
    <row r="373" spans="7:8" ht="15.75">
      <c r="G373" s="1" t="str">
        <f t="shared" si="13"/>
        <v/>
      </c>
      <c r="H373" s="1" t="str">
        <f t="shared" si="14"/>
        <v/>
      </c>
    </row>
    <row r="374" spans="7:8" ht="15.75">
      <c r="G374" s="1" t="str">
        <f t="shared" si="13"/>
        <v/>
      </c>
      <c r="H374" s="1" t="str">
        <f t="shared" si="14"/>
        <v/>
      </c>
    </row>
    <row r="375" spans="7:8" ht="15.75">
      <c r="G375" s="1" t="str">
        <f t="shared" si="13"/>
        <v/>
      </c>
      <c r="H375" s="1" t="str">
        <f t="shared" si="14"/>
        <v/>
      </c>
    </row>
    <row r="376" spans="7:8" ht="15.75">
      <c r="G376" s="1" t="str">
        <f t="shared" si="13"/>
        <v/>
      </c>
      <c r="H376" s="1" t="str">
        <f t="shared" si="14"/>
        <v/>
      </c>
    </row>
    <row r="377" spans="7:8" ht="15.75">
      <c r="G377" s="1" t="str">
        <f t="shared" si="13"/>
        <v/>
      </c>
      <c r="H377" s="1" t="str">
        <f t="shared" si="14"/>
        <v/>
      </c>
    </row>
    <row r="378" spans="7:8" ht="15.75">
      <c r="G378" s="1" t="str">
        <f t="shared" si="13"/>
        <v/>
      </c>
      <c r="H378" s="1" t="str">
        <f t="shared" si="14"/>
        <v/>
      </c>
    </row>
    <row r="379" spans="7:8" ht="15.75">
      <c r="G379" s="1" t="str">
        <f t="shared" si="13"/>
        <v/>
      </c>
      <c r="H379" s="1" t="str">
        <f t="shared" si="14"/>
        <v/>
      </c>
    </row>
    <row r="380" spans="7:8" ht="15.75">
      <c r="G380" s="1" t="str">
        <f t="shared" si="13"/>
        <v/>
      </c>
      <c r="H380" s="1" t="str">
        <f t="shared" si="14"/>
        <v/>
      </c>
    </row>
    <row r="381" spans="7:8" ht="15.75">
      <c r="G381" s="1" t="str">
        <f t="shared" si="13"/>
        <v/>
      </c>
      <c r="H381" s="1" t="str">
        <f t="shared" si="14"/>
        <v/>
      </c>
    </row>
    <row r="382" spans="7:8" ht="15.75">
      <c r="G382" s="1" t="str">
        <f t="shared" si="13"/>
        <v/>
      </c>
      <c r="H382" s="1" t="str">
        <f t="shared" si="14"/>
        <v/>
      </c>
    </row>
    <row r="383" spans="7:8" ht="15.75">
      <c r="G383" s="1" t="str">
        <f t="shared" si="13"/>
        <v/>
      </c>
      <c r="H383" s="1" t="str">
        <f t="shared" si="14"/>
        <v/>
      </c>
    </row>
    <row r="384" spans="7:8" ht="15.75">
      <c r="G384" s="1" t="str">
        <f t="shared" si="13"/>
        <v/>
      </c>
      <c r="H384" s="1" t="str">
        <f t="shared" si="14"/>
        <v/>
      </c>
    </row>
    <row r="385" spans="7:8" ht="15.75">
      <c r="G385" s="1" t="str">
        <f t="shared" si="13"/>
        <v/>
      </c>
      <c r="H385" s="1" t="str">
        <f t="shared" si="14"/>
        <v/>
      </c>
    </row>
    <row r="386" spans="7:8" ht="15.75">
      <c r="G386" s="1" t="str">
        <f t="shared" ref="G386:G449" si="15">IFERROR(IF(F386="4v5",VLOOKUP(C386,$W$1:$Y$10,3,FALSE),VLOOKUP(C386,$W$1:$Y$10,2,FALSE)),"")</f>
        <v/>
      </c>
      <c r="H386" s="1" t="str">
        <f t="shared" si="14"/>
        <v/>
      </c>
    </row>
    <row r="387" spans="7:8" ht="15.75">
      <c r="G387" s="1" t="str">
        <f t="shared" si="15"/>
        <v/>
      </c>
      <c r="H387" s="1" t="str">
        <f t="shared" ref="H387:H450" si="16">IF(C387="","",(IF(OR(C387="C",C387="P"),"Control","Uncontrolled")))</f>
        <v/>
      </c>
    </row>
    <row r="388" spans="7:8" ht="15.75">
      <c r="G388" s="1" t="str">
        <f t="shared" si="15"/>
        <v/>
      </c>
      <c r="H388" s="1" t="str">
        <f t="shared" si="16"/>
        <v/>
      </c>
    </row>
    <row r="389" spans="7:8" ht="15.75">
      <c r="G389" s="1" t="str">
        <f t="shared" si="15"/>
        <v/>
      </c>
      <c r="H389" s="1" t="str">
        <f t="shared" si="16"/>
        <v/>
      </c>
    </row>
    <row r="390" spans="7:8" ht="15.75">
      <c r="G390" s="1" t="str">
        <f t="shared" si="15"/>
        <v/>
      </c>
      <c r="H390" s="1" t="str">
        <f t="shared" si="16"/>
        <v/>
      </c>
    </row>
    <row r="391" spans="7:8" ht="15.75">
      <c r="G391" s="1" t="str">
        <f t="shared" si="15"/>
        <v/>
      </c>
      <c r="H391" s="1" t="str">
        <f t="shared" si="16"/>
        <v/>
      </c>
    </row>
    <row r="392" spans="7:8" ht="15.75">
      <c r="G392" s="1" t="str">
        <f t="shared" si="15"/>
        <v/>
      </c>
      <c r="H392" s="1" t="str">
        <f t="shared" si="16"/>
        <v/>
      </c>
    </row>
    <row r="393" spans="7:8" ht="15.75">
      <c r="G393" s="1" t="str">
        <f t="shared" si="15"/>
        <v/>
      </c>
      <c r="H393" s="1" t="str">
        <f t="shared" si="16"/>
        <v/>
      </c>
    </row>
    <row r="394" spans="7:8" ht="15.75">
      <c r="G394" s="1" t="str">
        <f t="shared" si="15"/>
        <v/>
      </c>
      <c r="H394" s="1" t="str">
        <f t="shared" si="16"/>
        <v/>
      </c>
    </row>
    <row r="395" spans="7:8" ht="15.75">
      <c r="G395" s="1" t="str">
        <f t="shared" si="15"/>
        <v/>
      </c>
      <c r="H395" s="1" t="str">
        <f t="shared" si="16"/>
        <v/>
      </c>
    </row>
    <row r="396" spans="7:8" ht="15.75">
      <c r="G396" s="1" t="str">
        <f t="shared" si="15"/>
        <v/>
      </c>
      <c r="H396" s="1" t="str">
        <f t="shared" si="16"/>
        <v/>
      </c>
    </row>
    <row r="397" spans="7:8" ht="15.75">
      <c r="G397" s="1" t="str">
        <f t="shared" si="15"/>
        <v/>
      </c>
      <c r="H397" s="1" t="str">
        <f t="shared" si="16"/>
        <v/>
      </c>
    </row>
    <row r="398" spans="7:8" ht="15.75">
      <c r="G398" s="1" t="str">
        <f t="shared" si="15"/>
        <v/>
      </c>
      <c r="H398" s="1" t="str">
        <f t="shared" si="16"/>
        <v/>
      </c>
    </row>
    <row r="399" spans="7:8" ht="15.75">
      <c r="G399" s="1" t="str">
        <f t="shared" si="15"/>
        <v/>
      </c>
      <c r="H399" s="1" t="str">
        <f t="shared" si="16"/>
        <v/>
      </c>
    </row>
    <row r="400" spans="7:8" ht="15.75">
      <c r="G400" s="1" t="str">
        <f t="shared" si="15"/>
        <v/>
      </c>
      <c r="H400" s="1" t="str">
        <f t="shared" si="16"/>
        <v/>
      </c>
    </row>
    <row r="401" spans="7:8" ht="15.75">
      <c r="G401" s="1" t="str">
        <f t="shared" si="15"/>
        <v/>
      </c>
      <c r="H401" s="1" t="str">
        <f t="shared" si="16"/>
        <v/>
      </c>
    </row>
    <row r="402" spans="7:8" ht="15.75">
      <c r="G402" s="1" t="str">
        <f t="shared" si="15"/>
        <v/>
      </c>
      <c r="H402" s="1" t="str">
        <f t="shared" si="16"/>
        <v/>
      </c>
    </row>
    <row r="403" spans="7:8" ht="15.75">
      <c r="G403" s="1" t="str">
        <f t="shared" si="15"/>
        <v/>
      </c>
      <c r="H403" s="1" t="str">
        <f t="shared" si="16"/>
        <v/>
      </c>
    </row>
    <row r="404" spans="7:8" ht="15.75">
      <c r="G404" s="1" t="str">
        <f t="shared" si="15"/>
        <v/>
      </c>
      <c r="H404" s="1" t="str">
        <f t="shared" si="16"/>
        <v/>
      </c>
    </row>
    <row r="405" spans="7:8" ht="15.75">
      <c r="G405" s="1" t="str">
        <f t="shared" si="15"/>
        <v/>
      </c>
      <c r="H405" s="1" t="str">
        <f t="shared" si="16"/>
        <v/>
      </c>
    </row>
    <row r="406" spans="7:8" ht="15.75">
      <c r="G406" s="1" t="str">
        <f t="shared" si="15"/>
        <v/>
      </c>
      <c r="H406" s="1" t="str">
        <f t="shared" si="16"/>
        <v/>
      </c>
    </row>
    <row r="407" spans="7:8" ht="15.75">
      <c r="G407" s="1" t="str">
        <f t="shared" si="15"/>
        <v/>
      </c>
      <c r="H407" s="1" t="str">
        <f t="shared" si="16"/>
        <v/>
      </c>
    </row>
    <row r="408" spans="7:8" ht="15.75">
      <c r="G408" s="1" t="str">
        <f t="shared" si="15"/>
        <v/>
      </c>
      <c r="H408" s="1" t="str">
        <f t="shared" si="16"/>
        <v/>
      </c>
    </row>
    <row r="409" spans="7:8" ht="15.75">
      <c r="G409" s="1" t="str">
        <f t="shared" si="15"/>
        <v/>
      </c>
      <c r="H409" s="1" t="str">
        <f t="shared" si="16"/>
        <v/>
      </c>
    </row>
    <row r="410" spans="7:8" ht="15.75">
      <c r="G410" s="1" t="str">
        <f t="shared" si="15"/>
        <v/>
      </c>
      <c r="H410" s="1" t="str">
        <f t="shared" si="16"/>
        <v/>
      </c>
    </row>
    <row r="411" spans="7:8" ht="15.75">
      <c r="G411" s="1" t="str">
        <f t="shared" si="15"/>
        <v/>
      </c>
      <c r="H411" s="1" t="str">
        <f t="shared" si="16"/>
        <v/>
      </c>
    </row>
    <row r="412" spans="7:8" ht="15.75">
      <c r="G412" s="1" t="str">
        <f t="shared" si="15"/>
        <v/>
      </c>
      <c r="H412" s="1" t="str">
        <f t="shared" si="16"/>
        <v/>
      </c>
    </row>
    <row r="413" spans="7:8" ht="15.75">
      <c r="G413" s="1" t="str">
        <f t="shared" si="15"/>
        <v/>
      </c>
      <c r="H413" s="1" t="str">
        <f t="shared" si="16"/>
        <v/>
      </c>
    </row>
    <row r="414" spans="7:8" ht="15.75">
      <c r="G414" s="1" t="str">
        <f t="shared" si="15"/>
        <v/>
      </c>
      <c r="H414" s="1" t="str">
        <f t="shared" si="16"/>
        <v/>
      </c>
    </row>
    <row r="415" spans="7:8" ht="15.75">
      <c r="G415" s="1" t="str">
        <f t="shared" si="15"/>
        <v/>
      </c>
      <c r="H415" s="1" t="str">
        <f t="shared" si="16"/>
        <v/>
      </c>
    </row>
    <row r="416" spans="7:8" ht="15.75">
      <c r="G416" s="1" t="str">
        <f t="shared" si="15"/>
        <v/>
      </c>
      <c r="H416" s="1" t="str">
        <f t="shared" si="16"/>
        <v/>
      </c>
    </row>
    <row r="417" spans="7:8" ht="15.75">
      <c r="G417" s="1" t="str">
        <f t="shared" si="15"/>
        <v/>
      </c>
      <c r="H417" s="1" t="str">
        <f t="shared" si="16"/>
        <v/>
      </c>
    </row>
    <row r="418" spans="7:8" ht="15.75">
      <c r="G418" s="1" t="str">
        <f t="shared" si="15"/>
        <v/>
      </c>
      <c r="H418" s="1" t="str">
        <f t="shared" si="16"/>
        <v/>
      </c>
    </row>
    <row r="419" spans="7:8" ht="15.75">
      <c r="G419" s="1" t="str">
        <f t="shared" si="15"/>
        <v/>
      </c>
      <c r="H419" s="1" t="str">
        <f t="shared" si="16"/>
        <v/>
      </c>
    </row>
    <row r="420" spans="7:8" ht="15.75">
      <c r="G420" s="1" t="str">
        <f t="shared" si="15"/>
        <v/>
      </c>
      <c r="H420" s="1" t="str">
        <f t="shared" si="16"/>
        <v/>
      </c>
    </row>
    <row r="421" spans="7:8" ht="15.75">
      <c r="G421" s="1" t="str">
        <f t="shared" si="15"/>
        <v/>
      </c>
      <c r="H421" s="1" t="str">
        <f t="shared" si="16"/>
        <v/>
      </c>
    </row>
    <row r="422" spans="7:8" ht="15.75">
      <c r="G422" s="1" t="str">
        <f t="shared" si="15"/>
        <v/>
      </c>
      <c r="H422" s="1" t="str">
        <f t="shared" si="16"/>
        <v/>
      </c>
    </row>
    <row r="423" spans="7:8" ht="15.75">
      <c r="G423" s="1" t="str">
        <f t="shared" si="15"/>
        <v/>
      </c>
      <c r="H423" s="1" t="str">
        <f t="shared" si="16"/>
        <v/>
      </c>
    </row>
    <row r="424" spans="7:8" ht="15.75">
      <c r="G424" s="1" t="str">
        <f t="shared" si="15"/>
        <v/>
      </c>
      <c r="H424" s="1" t="str">
        <f t="shared" si="16"/>
        <v/>
      </c>
    </row>
    <row r="425" spans="7:8" ht="15.75">
      <c r="G425" s="1" t="str">
        <f t="shared" si="15"/>
        <v/>
      </c>
      <c r="H425" s="1" t="str">
        <f t="shared" si="16"/>
        <v/>
      </c>
    </row>
    <row r="426" spans="7:8" ht="15.75">
      <c r="G426" s="1" t="str">
        <f t="shared" si="15"/>
        <v/>
      </c>
      <c r="H426" s="1" t="str">
        <f t="shared" si="16"/>
        <v/>
      </c>
    </row>
    <row r="427" spans="7:8" ht="15.75">
      <c r="G427" s="1" t="str">
        <f t="shared" si="15"/>
        <v/>
      </c>
      <c r="H427" s="1" t="str">
        <f t="shared" si="16"/>
        <v/>
      </c>
    </row>
    <row r="428" spans="7:8" ht="15.75">
      <c r="G428" s="1" t="str">
        <f t="shared" si="15"/>
        <v/>
      </c>
      <c r="H428" s="1" t="str">
        <f t="shared" si="16"/>
        <v/>
      </c>
    </row>
    <row r="429" spans="7:8" ht="15.75">
      <c r="G429" s="1" t="str">
        <f t="shared" si="15"/>
        <v/>
      </c>
      <c r="H429" s="1" t="str">
        <f t="shared" si="16"/>
        <v/>
      </c>
    </row>
    <row r="430" spans="7:8" ht="15.75">
      <c r="G430" s="1" t="str">
        <f t="shared" si="15"/>
        <v/>
      </c>
      <c r="H430" s="1" t="str">
        <f t="shared" si="16"/>
        <v/>
      </c>
    </row>
    <row r="431" spans="7:8" ht="15.75">
      <c r="G431" s="1" t="str">
        <f t="shared" si="15"/>
        <v/>
      </c>
      <c r="H431" s="1" t="str">
        <f t="shared" si="16"/>
        <v/>
      </c>
    </row>
    <row r="432" spans="7:8" ht="15.75">
      <c r="G432" s="1" t="str">
        <f t="shared" si="15"/>
        <v/>
      </c>
      <c r="H432" s="1" t="str">
        <f t="shared" si="16"/>
        <v/>
      </c>
    </row>
    <row r="433" spans="7:8" ht="15.75">
      <c r="G433" s="1" t="str">
        <f t="shared" si="15"/>
        <v/>
      </c>
      <c r="H433" s="1" t="str">
        <f t="shared" si="16"/>
        <v/>
      </c>
    </row>
    <row r="434" spans="7:8" ht="15.75">
      <c r="G434" s="1" t="str">
        <f t="shared" si="15"/>
        <v/>
      </c>
      <c r="H434" s="1" t="str">
        <f t="shared" si="16"/>
        <v/>
      </c>
    </row>
    <row r="435" spans="7:8" ht="15.75">
      <c r="G435" s="1" t="str">
        <f t="shared" si="15"/>
        <v/>
      </c>
      <c r="H435" s="1" t="str">
        <f t="shared" si="16"/>
        <v/>
      </c>
    </row>
    <row r="436" spans="7:8" ht="15.75">
      <c r="G436" s="1" t="str">
        <f t="shared" si="15"/>
        <v/>
      </c>
      <c r="H436" s="1" t="str">
        <f t="shared" si="16"/>
        <v/>
      </c>
    </row>
    <row r="437" spans="7:8" ht="15.75">
      <c r="G437" s="1" t="str">
        <f t="shared" si="15"/>
        <v/>
      </c>
      <c r="H437" s="1" t="str">
        <f t="shared" si="16"/>
        <v/>
      </c>
    </row>
    <row r="438" spans="7:8" ht="15.75">
      <c r="G438" s="1" t="str">
        <f t="shared" si="15"/>
        <v/>
      </c>
      <c r="H438" s="1" t="str">
        <f t="shared" si="16"/>
        <v/>
      </c>
    </row>
    <row r="439" spans="7:8" ht="15.75">
      <c r="G439" s="1" t="str">
        <f t="shared" si="15"/>
        <v/>
      </c>
      <c r="H439" s="1" t="str">
        <f t="shared" si="16"/>
        <v/>
      </c>
    </row>
    <row r="440" spans="7:8" ht="15.75">
      <c r="G440" s="1" t="str">
        <f t="shared" si="15"/>
        <v/>
      </c>
      <c r="H440" s="1" t="str">
        <f t="shared" si="16"/>
        <v/>
      </c>
    </row>
    <row r="441" spans="7:8" ht="15.75">
      <c r="G441" s="1" t="str">
        <f t="shared" si="15"/>
        <v/>
      </c>
      <c r="H441" s="1" t="str">
        <f t="shared" si="16"/>
        <v/>
      </c>
    </row>
    <row r="442" spans="7:8" ht="15.75">
      <c r="G442" s="1" t="str">
        <f t="shared" si="15"/>
        <v/>
      </c>
      <c r="H442" s="1" t="str">
        <f t="shared" si="16"/>
        <v/>
      </c>
    </row>
    <row r="443" spans="7:8" ht="15.75">
      <c r="G443" s="1" t="str">
        <f t="shared" si="15"/>
        <v/>
      </c>
      <c r="H443" s="1" t="str">
        <f t="shared" si="16"/>
        <v/>
      </c>
    </row>
    <row r="444" spans="7:8" ht="15.75">
      <c r="G444" s="1" t="str">
        <f t="shared" si="15"/>
        <v/>
      </c>
      <c r="H444" s="1" t="str">
        <f t="shared" si="16"/>
        <v/>
      </c>
    </row>
    <row r="445" spans="7:8" ht="15.75">
      <c r="G445" s="1" t="str">
        <f t="shared" si="15"/>
        <v/>
      </c>
      <c r="H445" s="1" t="str">
        <f t="shared" si="16"/>
        <v/>
      </c>
    </row>
    <row r="446" spans="7:8" ht="15.75">
      <c r="G446" s="1" t="str">
        <f t="shared" si="15"/>
        <v/>
      </c>
      <c r="H446" s="1" t="str">
        <f t="shared" si="16"/>
        <v/>
      </c>
    </row>
    <row r="447" spans="7:8" ht="15.75">
      <c r="G447" s="1" t="str">
        <f t="shared" si="15"/>
        <v/>
      </c>
      <c r="H447" s="1" t="str">
        <f t="shared" si="16"/>
        <v/>
      </c>
    </row>
    <row r="448" spans="7:8" ht="15.75">
      <c r="G448" s="1" t="str">
        <f t="shared" si="15"/>
        <v/>
      </c>
      <c r="H448" s="1" t="str">
        <f t="shared" si="16"/>
        <v/>
      </c>
    </row>
    <row r="449" spans="7:8" ht="15.75">
      <c r="G449" s="1" t="str">
        <f t="shared" si="15"/>
        <v/>
      </c>
      <c r="H449" s="1" t="str">
        <f t="shared" si="16"/>
        <v/>
      </c>
    </row>
    <row r="450" spans="7:8" ht="15.75">
      <c r="G450" s="1" t="str">
        <f t="shared" ref="G450:G513" si="17">IFERROR(IF(F450="4v5",VLOOKUP(C450,$W$1:$Y$10,3,FALSE),VLOOKUP(C450,$W$1:$Y$10,2,FALSE)),"")</f>
        <v/>
      </c>
      <c r="H450" s="1" t="str">
        <f t="shared" si="16"/>
        <v/>
      </c>
    </row>
    <row r="451" spans="7:8" ht="15.75">
      <c r="G451" s="1" t="str">
        <f t="shared" si="17"/>
        <v/>
      </c>
      <c r="H451" s="1" t="str">
        <f t="shared" ref="H451:H500" si="18">IF(C451="","",(IF(OR(C451="C",C451="P"),"Control","Uncontrolled")))</f>
        <v/>
      </c>
    </row>
    <row r="452" spans="7:8" ht="15.75">
      <c r="G452" s="1" t="str">
        <f t="shared" si="17"/>
        <v/>
      </c>
      <c r="H452" s="1" t="str">
        <f t="shared" si="18"/>
        <v/>
      </c>
    </row>
    <row r="453" spans="7:8" ht="15.75">
      <c r="G453" s="1" t="str">
        <f t="shared" si="17"/>
        <v/>
      </c>
      <c r="H453" s="1" t="str">
        <f t="shared" si="18"/>
        <v/>
      </c>
    </row>
    <row r="454" spans="7:8" ht="15.75">
      <c r="G454" s="1" t="str">
        <f t="shared" si="17"/>
        <v/>
      </c>
      <c r="H454" s="1" t="str">
        <f t="shared" si="18"/>
        <v/>
      </c>
    </row>
    <row r="455" spans="7:8" ht="15.75">
      <c r="G455" s="1" t="str">
        <f t="shared" si="17"/>
        <v/>
      </c>
      <c r="H455" s="1" t="str">
        <f t="shared" si="18"/>
        <v/>
      </c>
    </row>
    <row r="456" spans="7:8" ht="15.75">
      <c r="G456" s="1" t="str">
        <f t="shared" si="17"/>
        <v/>
      </c>
      <c r="H456" s="1" t="str">
        <f t="shared" si="18"/>
        <v/>
      </c>
    </row>
    <row r="457" spans="7:8" ht="15.75">
      <c r="G457" s="1" t="str">
        <f t="shared" si="17"/>
        <v/>
      </c>
      <c r="H457" s="1" t="str">
        <f t="shared" si="18"/>
        <v/>
      </c>
    </row>
    <row r="458" spans="7:8" ht="15.75">
      <c r="G458" s="1" t="str">
        <f t="shared" si="17"/>
        <v/>
      </c>
      <c r="H458" s="1" t="str">
        <f t="shared" si="18"/>
        <v/>
      </c>
    </row>
    <row r="459" spans="7:8" ht="15.75">
      <c r="G459" s="1" t="str">
        <f t="shared" si="17"/>
        <v/>
      </c>
      <c r="H459" s="1" t="str">
        <f t="shared" si="18"/>
        <v/>
      </c>
    </row>
    <row r="460" spans="7:8" ht="15.75">
      <c r="G460" s="1" t="str">
        <f t="shared" si="17"/>
        <v/>
      </c>
      <c r="H460" s="1" t="str">
        <f t="shared" si="18"/>
        <v/>
      </c>
    </row>
    <row r="461" spans="7:8" ht="15.75">
      <c r="G461" s="1" t="str">
        <f t="shared" si="17"/>
        <v/>
      </c>
      <c r="H461" s="1" t="str">
        <f t="shared" si="18"/>
        <v/>
      </c>
    </row>
    <row r="462" spans="7:8" ht="15.75">
      <c r="G462" s="1" t="str">
        <f t="shared" si="17"/>
        <v/>
      </c>
      <c r="H462" s="1" t="str">
        <f t="shared" si="18"/>
        <v/>
      </c>
    </row>
    <row r="463" spans="7:8" ht="15.75">
      <c r="G463" s="1" t="str">
        <f t="shared" si="17"/>
        <v/>
      </c>
      <c r="H463" s="1" t="str">
        <f t="shared" si="18"/>
        <v/>
      </c>
    </row>
    <row r="464" spans="7:8" ht="15.75">
      <c r="G464" s="1" t="str">
        <f t="shared" si="17"/>
        <v/>
      </c>
      <c r="H464" s="1" t="str">
        <f t="shared" si="18"/>
        <v/>
      </c>
    </row>
    <row r="465" spans="7:8" ht="15.75">
      <c r="G465" s="1" t="str">
        <f t="shared" si="17"/>
        <v/>
      </c>
      <c r="H465" s="1" t="str">
        <f t="shared" si="18"/>
        <v/>
      </c>
    </row>
    <row r="466" spans="7:8" ht="15.75">
      <c r="G466" s="1" t="str">
        <f t="shared" si="17"/>
        <v/>
      </c>
      <c r="H466" s="1" t="str">
        <f t="shared" si="18"/>
        <v/>
      </c>
    </row>
    <row r="467" spans="7:8" ht="15.75">
      <c r="G467" s="1" t="str">
        <f t="shared" si="17"/>
        <v/>
      </c>
      <c r="H467" s="1" t="str">
        <f t="shared" si="18"/>
        <v/>
      </c>
    </row>
    <row r="468" spans="7:8" ht="15.75">
      <c r="G468" s="1" t="str">
        <f t="shared" si="17"/>
        <v/>
      </c>
      <c r="H468" s="1" t="str">
        <f t="shared" si="18"/>
        <v/>
      </c>
    </row>
    <row r="469" spans="7:8" ht="15.75">
      <c r="G469" s="1" t="str">
        <f t="shared" si="17"/>
        <v/>
      </c>
      <c r="H469" s="1" t="str">
        <f t="shared" si="18"/>
        <v/>
      </c>
    </row>
    <row r="470" spans="7:8" ht="15.75">
      <c r="G470" s="1" t="str">
        <f t="shared" si="17"/>
        <v/>
      </c>
      <c r="H470" s="1" t="str">
        <f t="shared" si="18"/>
        <v/>
      </c>
    </row>
    <row r="471" spans="7:8" ht="15.75">
      <c r="G471" s="1" t="str">
        <f t="shared" si="17"/>
        <v/>
      </c>
      <c r="H471" s="1" t="str">
        <f t="shared" si="18"/>
        <v/>
      </c>
    </row>
    <row r="472" spans="7:8" ht="15.75">
      <c r="G472" s="1" t="str">
        <f t="shared" si="17"/>
        <v/>
      </c>
      <c r="H472" s="1" t="str">
        <f t="shared" si="18"/>
        <v/>
      </c>
    </row>
    <row r="473" spans="7:8" ht="15.75">
      <c r="G473" s="1" t="str">
        <f t="shared" si="17"/>
        <v/>
      </c>
      <c r="H473" s="1" t="str">
        <f t="shared" si="18"/>
        <v/>
      </c>
    </row>
    <row r="474" spans="7:8" ht="15.75">
      <c r="G474" s="1" t="str">
        <f t="shared" si="17"/>
        <v/>
      </c>
      <c r="H474" s="1" t="str">
        <f t="shared" si="18"/>
        <v/>
      </c>
    </row>
    <row r="475" spans="7:8" ht="15.75">
      <c r="G475" s="1" t="str">
        <f t="shared" si="17"/>
        <v/>
      </c>
      <c r="H475" s="1" t="str">
        <f t="shared" si="18"/>
        <v/>
      </c>
    </row>
    <row r="476" spans="7:8" ht="15.75">
      <c r="G476" s="1" t="str">
        <f t="shared" si="17"/>
        <v/>
      </c>
      <c r="H476" s="1" t="str">
        <f t="shared" si="18"/>
        <v/>
      </c>
    </row>
    <row r="477" spans="7:8" ht="15.75">
      <c r="G477" s="1" t="str">
        <f t="shared" si="17"/>
        <v/>
      </c>
      <c r="H477" s="1" t="str">
        <f t="shared" si="18"/>
        <v/>
      </c>
    </row>
    <row r="478" spans="7:8" ht="15.75">
      <c r="G478" s="1" t="str">
        <f t="shared" si="17"/>
        <v/>
      </c>
      <c r="H478" s="1" t="str">
        <f t="shared" si="18"/>
        <v/>
      </c>
    </row>
    <row r="479" spans="7:8" ht="15.75">
      <c r="G479" s="1" t="str">
        <f t="shared" si="17"/>
        <v/>
      </c>
      <c r="H479" s="1" t="str">
        <f t="shared" si="18"/>
        <v/>
      </c>
    </row>
    <row r="480" spans="7:8" ht="15.75">
      <c r="G480" s="1" t="str">
        <f t="shared" si="17"/>
        <v/>
      </c>
      <c r="H480" s="1" t="str">
        <f t="shared" si="18"/>
        <v/>
      </c>
    </row>
    <row r="481" spans="7:8" ht="15.75">
      <c r="G481" s="1" t="str">
        <f t="shared" si="17"/>
        <v/>
      </c>
      <c r="H481" s="1" t="str">
        <f t="shared" si="18"/>
        <v/>
      </c>
    </row>
    <row r="482" spans="7:8" ht="15.75">
      <c r="G482" s="1" t="str">
        <f t="shared" si="17"/>
        <v/>
      </c>
      <c r="H482" s="1" t="str">
        <f t="shared" si="18"/>
        <v/>
      </c>
    </row>
    <row r="483" spans="7:8" ht="15.75">
      <c r="G483" s="1" t="str">
        <f t="shared" si="17"/>
        <v/>
      </c>
      <c r="H483" s="1" t="str">
        <f t="shared" si="18"/>
        <v/>
      </c>
    </row>
    <row r="484" spans="7:8" ht="15.75">
      <c r="G484" s="1" t="str">
        <f t="shared" si="17"/>
        <v/>
      </c>
      <c r="H484" s="1" t="str">
        <f t="shared" si="18"/>
        <v/>
      </c>
    </row>
    <row r="485" spans="7:8" ht="15.75">
      <c r="G485" s="1" t="str">
        <f t="shared" si="17"/>
        <v/>
      </c>
      <c r="H485" s="1" t="str">
        <f t="shared" si="18"/>
        <v/>
      </c>
    </row>
    <row r="486" spans="7:8" ht="15.75">
      <c r="G486" s="1" t="str">
        <f t="shared" si="17"/>
        <v/>
      </c>
      <c r="H486" s="1" t="str">
        <f t="shared" si="18"/>
        <v/>
      </c>
    </row>
    <row r="487" spans="7:8" ht="15.75">
      <c r="G487" s="1" t="str">
        <f t="shared" si="17"/>
        <v/>
      </c>
      <c r="H487" s="1" t="str">
        <f t="shared" si="18"/>
        <v/>
      </c>
    </row>
    <row r="488" spans="7:8" ht="15.75">
      <c r="G488" s="1" t="str">
        <f t="shared" si="17"/>
        <v/>
      </c>
      <c r="H488" s="1" t="str">
        <f t="shared" si="18"/>
        <v/>
      </c>
    </row>
    <row r="489" spans="7:8" ht="15.75">
      <c r="G489" s="1" t="str">
        <f t="shared" si="17"/>
        <v/>
      </c>
      <c r="H489" s="1" t="str">
        <f t="shared" si="18"/>
        <v/>
      </c>
    </row>
    <row r="490" spans="7:8" ht="15.75">
      <c r="G490" s="1" t="str">
        <f t="shared" si="17"/>
        <v/>
      </c>
      <c r="H490" s="1" t="str">
        <f t="shared" si="18"/>
        <v/>
      </c>
    </row>
    <row r="491" spans="7:8" ht="15.75">
      <c r="G491" s="1" t="str">
        <f t="shared" si="17"/>
        <v/>
      </c>
      <c r="H491" s="1" t="str">
        <f t="shared" si="18"/>
        <v/>
      </c>
    </row>
    <row r="492" spans="7:8" ht="15.75">
      <c r="G492" s="1" t="str">
        <f t="shared" si="17"/>
        <v/>
      </c>
      <c r="H492" s="1" t="str">
        <f t="shared" si="18"/>
        <v/>
      </c>
    </row>
    <row r="493" spans="7:8" ht="15.75">
      <c r="G493" s="1" t="str">
        <f t="shared" si="17"/>
        <v/>
      </c>
      <c r="H493" s="1" t="str">
        <f t="shared" si="18"/>
        <v/>
      </c>
    </row>
    <row r="494" spans="7:8" ht="15.75">
      <c r="G494" s="1" t="str">
        <f t="shared" si="17"/>
        <v/>
      </c>
      <c r="H494" s="1" t="str">
        <f t="shared" si="18"/>
        <v/>
      </c>
    </row>
    <row r="495" spans="7:8" ht="15.75">
      <c r="G495" s="1" t="str">
        <f t="shared" si="17"/>
        <v/>
      </c>
      <c r="H495" s="1" t="str">
        <f t="shared" si="18"/>
        <v/>
      </c>
    </row>
    <row r="496" spans="7:8" ht="15.75">
      <c r="G496" s="1" t="str">
        <f t="shared" si="17"/>
        <v/>
      </c>
      <c r="H496" s="1" t="str">
        <f t="shared" si="18"/>
        <v/>
      </c>
    </row>
    <row r="497" spans="7:8" ht="15.75">
      <c r="G497" s="1" t="str">
        <f t="shared" si="17"/>
        <v/>
      </c>
      <c r="H497" s="1" t="str">
        <f t="shared" si="18"/>
        <v/>
      </c>
    </row>
    <row r="498" spans="7:8" ht="15.75">
      <c r="G498" s="1" t="str">
        <f t="shared" si="17"/>
        <v/>
      </c>
      <c r="H498" s="1" t="str">
        <f t="shared" si="18"/>
        <v/>
      </c>
    </row>
    <row r="499" spans="7:8" ht="15.75">
      <c r="G499" s="1" t="str">
        <f t="shared" si="17"/>
        <v/>
      </c>
      <c r="H499" s="1" t="str">
        <f t="shared" si="18"/>
        <v/>
      </c>
    </row>
    <row r="500" spans="7:8" ht="15.75">
      <c r="G500" s="1" t="str">
        <f t="shared" si="17"/>
        <v/>
      </c>
      <c r="H500" s="1" t="str">
        <f t="shared" si="18"/>
        <v/>
      </c>
    </row>
  </sheetData>
  <sheetProtection password="CDD6" sheet="1" objects="1" scenarios="1" selectLockedCells="1"/>
  <mergeCells count="1">
    <mergeCell ref="K3:O3"/>
  </mergeCells>
  <dataValidations count="1">
    <dataValidation type="list" allowBlank="1" showInputMessage="1" showErrorMessage="1" sqref="L1">
      <formula1>$V$1:$V$3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DataEntry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Blueputer</dc:creator>
  <cp:lastModifiedBy>Blueputer</cp:lastModifiedBy>
  <dcterms:created xsi:type="dcterms:W3CDTF">2013-07-04T00:21:44Z</dcterms:created>
  <dcterms:modified xsi:type="dcterms:W3CDTF">2013-07-11T02:37:52Z</dcterms:modified>
</cp:coreProperties>
</file>